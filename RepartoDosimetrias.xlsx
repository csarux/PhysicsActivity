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D:\working\waccache\MR1PEPF0000107E\EXCELCNV\5e8388df-d973-4799-97ce-6c6d5b5bf0fe\"/>
    </mc:Choice>
  </mc:AlternateContent>
  <xr:revisionPtr revIDLastSave="0" documentId="8_{D5BB37B9-90F1-4576-A2DA-924542FA662A}" xr6:coauthVersionLast="47" xr6:coauthVersionMax="47" xr10:uidLastSave="{00000000-0000-0000-0000-000000000000}"/>
  <bookViews>
    <workbookView xWindow="-60" yWindow="-60" windowWidth="15480" windowHeight="11640" tabRatio="601" xr2:uid="{2AD82A71-9681-4F02-B21B-81358C799FC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T12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P7" i="1"/>
  <c r="P6" i="1"/>
  <c r="P5" i="1"/>
  <c r="P4" i="1"/>
  <c r="P3" i="1"/>
  <c r="P2" i="1"/>
  <c r="P11" i="1"/>
  <c r="Q7" i="1"/>
  <c r="Q6" i="1"/>
  <c r="Q5" i="1"/>
  <c r="Q4" i="1"/>
  <c r="Q3" i="1"/>
  <c r="Q2" i="1"/>
  <c r="Q11" i="1" s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R7" i="1"/>
  <c r="E3" i="1"/>
  <c r="N6" i="1"/>
  <c r="B6" i="1"/>
  <c r="C6" i="1"/>
  <c r="D6" i="1"/>
  <c r="E6" i="1"/>
  <c r="F6" i="1"/>
  <c r="G6" i="1"/>
  <c r="H6" i="1"/>
  <c r="I6" i="1"/>
  <c r="J6" i="1"/>
  <c r="K6" i="1"/>
  <c r="L6" i="1"/>
  <c r="M6" i="1"/>
  <c r="O6" i="1"/>
  <c r="R6" i="1"/>
  <c r="B5" i="1"/>
  <c r="C5" i="1"/>
  <c r="D5" i="1"/>
  <c r="E5" i="1"/>
  <c r="F5" i="1"/>
  <c r="G5" i="1"/>
  <c r="H5" i="1"/>
  <c r="I5" i="1"/>
  <c r="J5" i="1"/>
  <c r="K5" i="1"/>
  <c r="L5" i="1"/>
  <c r="M5" i="1"/>
  <c r="O5" i="1"/>
  <c r="R5" i="1"/>
  <c r="B2" i="1"/>
  <c r="R2" i="1"/>
  <c r="R3" i="1"/>
  <c r="R4" i="1"/>
  <c r="O3" i="1"/>
  <c r="O4" i="1"/>
  <c r="M4" i="1"/>
  <c r="M3" i="1"/>
  <c r="L3" i="1"/>
  <c r="L4" i="1"/>
  <c r="G3" i="1"/>
  <c r="G4" i="1"/>
  <c r="H3" i="1"/>
  <c r="H4" i="1"/>
  <c r="L2" i="1"/>
  <c r="I4" i="1"/>
  <c r="I3" i="1"/>
  <c r="C3" i="1"/>
  <c r="C4" i="1"/>
  <c r="D3" i="1"/>
  <c r="D4" i="1"/>
  <c r="E4" i="1"/>
  <c r="F4" i="1"/>
  <c r="F3" i="1"/>
  <c r="K4" i="1"/>
  <c r="K3" i="1"/>
  <c r="N4" i="1"/>
  <c r="N3" i="1"/>
  <c r="J3" i="1"/>
  <c r="J4" i="1"/>
  <c r="K2" i="1"/>
  <c r="K11" i="1"/>
  <c r="C2" i="1"/>
  <c r="C11" i="1"/>
  <c r="F2" i="1"/>
  <c r="M2" i="1"/>
  <c r="B4" i="1"/>
  <c r="J2" i="1"/>
  <c r="J11" i="1" s="1"/>
  <c r="N2" i="1"/>
  <c r="O2" i="1"/>
  <c r="O11" i="1" s="1"/>
  <c r="E2" i="1"/>
  <c r="G2" i="1"/>
  <c r="G11" i="1"/>
  <c r="B3" i="1"/>
  <c r="B11" i="1" s="1"/>
  <c r="H2" i="1"/>
  <c r="H11" i="1"/>
  <c r="I2" i="1"/>
  <c r="I11" i="1" s="1"/>
  <c r="D2" i="1"/>
  <c r="N5" i="1"/>
  <c r="T5" i="1" s="1"/>
  <c r="L11" i="1"/>
  <c r="D11" i="1"/>
  <c r="N11" i="1"/>
  <c r="E11" i="1"/>
  <c r="F11" i="1"/>
  <c r="R11" i="1"/>
  <c r="T6" i="1"/>
  <c r="T4" i="1"/>
  <c r="T2" i="1"/>
  <c r="T7" i="1"/>
  <c r="T3" i="1"/>
  <c r="M11" i="1"/>
  <c r="T8" i="1" l="1"/>
  <c r="T9" i="1"/>
  <c r="T11" i="1" l="1"/>
  <c r="U8" i="1"/>
  <c r="W12" i="1" l="1"/>
  <c r="U4" i="1"/>
  <c r="U2" i="1"/>
  <c r="U5" i="1"/>
  <c r="U3" i="1"/>
  <c r="U7" i="1"/>
  <c r="U6" i="1"/>
  <c r="U9" i="1"/>
</calcChain>
</file>

<file path=xl/sharedStrings.xml><?xml version="1.0" encoding="utf-8"?>
<sst xmlns="http://schemas.openxmlformats.org/spreadsheetml/2006/main" count="605" uniqueCount="32">
  <si>
    <t>Totales</t>
  </si>
  <si>
    <t>Alfonso</t>
  </si>
  <si>
    <t>César</t>
  </si>
  <si>
    <t>Guadalupe</t>
  </si>
  <si>
    <t>Carmen</t>
  </si>
  <si>
    <t>Pilar</t>
  </si>
  <si>
    <t>Felipe</t>
  </si>
  <si>
    <t>Juan</t>
  </si>
  <si>
    <t>Juanma</t>
  </si>
  <si>
    <t>Total parc</t>
  </si>
  <si>
    <t>Total</t>
  </si>
  <si>
    <t>Año</t>
  </si>
  <si>
    <t>Fecha</t>
  </si>
  <si>
    <t>ORL</t>
  </si>
  <si>
    <t>Pulmón</t>
  </si>
  <si>
    <t>Prostata3N</t>
  </si>
  <si>
    <t>Prostata2N y 1N</t>
  </si>
  <si>
    <t>Mama</t>
  </si>
  <si>
    <t>Sarcoma</t>
  </si>
  <si>
    <t>Recto</t>
  </si>
  <si>
    <t>Digestivo</t>
  </si>
  <si>
    <t>Linfoma</t>
  </si>
  <si>
    <t>Cerebral</t>
  </si>
  <si>
    <t>Electrones</t>
  </si>
  <si>
    <t>Piel</t>
  </si>
  <si>
    <t>SBRT/SRS</t>
  </si>
  <si>
    <t>Ginecolog</t>
  </si>
  <si>
    <t>Benigna</t>
  </si>
  <si>
    <t>Otros</t>
  </si>
  <si>
    <t>Paliativo</t>
  </si>
  <si>
    <t>Verificación</t>
  </si>
  <si>
    <t>Previsión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</si>
</sst>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/>
    <xf numFmtId="0" fontId="3" fillId="0" borderId="0" xfId="0" applyFont="1"/>
    <xf numFmtId="16" fontId="0" fillId="0" borderId="0" xfId="0" applyNumberFormat="1"/>
    <xf numFmtId="0" fontId="2" fillId="0" borderId="0" xfId="0" applyFont="1" applyAlignment="1">
      <alignment horizontal="right"/>
    </xf>
    <xf numFmtId="164" fontId="0" fillId="0" borderId="0" xfId="1" applyNumberFormat="1" applyFont="1" applyBorder="1"/>
    <xf numFmtId="164" fontId="0" fillId="0" borderId="0" xfId="1" applyNumberFormat="1" applyFont="1" applyFill="1" applyBorder="1"/>
    <xf numFmtId="14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0" fontId="2" fillId="0" borderId="0" xfId="0" applyFont="1"/>
    <xf numFmtId="0" fontId="0" fillId="0" borderId="1" xfId="0" applyBorder="1"/>
    <xf numFmtId="2" fontId="0" fillId="0" borderId="0" xfId="0" applyNumberFormat="1"/>
    <xf numFmtId="0" fontId="0" fillId="0" borderId="2" xfId="0" applyBorder="1"/>
    <xf numFmtId="16" fontId="0" fillId="0" borderId="1" xfId="0" applyNumberFormat="1" applyBorder="1"/>
    <xf numFmtId="16" fontId="0" fillId="0" borderId="3" xfId="0" applyNumberFormat="1" applyBorder="1"/>
    <xf numFmtId="0" fontId="0" fillId="0" borderId="3" xfId="0" applyBorder="1"/>
    <xf numFmtId="16" fontId="0" fillId="0" borderId="2" xfId="0" applyNumberFormat="1" applyBorder="1"/>
    <xf numFmtId="0" fontId="4" fillId="0" borderId="0" xfId="0" applyFont="1"/>
    <xf numFmtId="0" fontId="4" fillId="0" borderId="1" xfId="0" applyFont="1" applyBorder="1"/>
    <xf numFmtId="16" fontId="3" fillId="0" borderId="0" xfId="0" applyNumberFormat="1" applyFont="1"/>
    <xf numFmtId="0" fontId="3" fillId="0" borderId="1" xfId="0" applyFont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6D21-A66B-4E46-BCC2-3A7E051AD59C}">
  <dimension ref="A1:AC375"/>
  <sheetViews>
    <sheetView tabSelected="1" zoomScale="90" zoomScaleNormal="90" workbookViewId="0">
      <pane ySplit="12" topLeftCell="A220" activePane="bottomLeft" state="frozenSplit"/>
      <selection pane="bottomLeft" activeCell="B246" sqref="B246"/>
    </sheetView>
  </sheetViews>
  <sheetFormatPr defaultRowHeight="12.75"/>
  <cols>
    <col min="1" max="1" width="11" customWidth="1"/>
    <col min="2" max="3" width="9.5703125" customWidth="1"/>
    <col min="4" max="4" width="10.7109375" bestFit="1" customWidth="1"/>
    <col min="5" max="5" width="15.7109375" customWidth="1"/>
    <col min="6" max="6" width="11" customWidth="1"/>
    <col min="7" max="11" width="9.5703125" customWidth="1"/>
    <col min="12" max="12" width="10.42578125" bestFit="1" customWidth="1"/>
    <col min="13" max="13" width="9.7109375" customWidth="1"/>
    <col min="14" max="14" width="11" customWidth="1"/>
    <col min="15" max="18" width="9.5703125" customWidth="1"/>
    <col min="19" max="19" width="10.28515625" customWidth="1"/>
    <col min="20" max="20" width="9.5703125" customWidth="1"/>
    <col min="21" max="23" width="11.42578125" customWidth="1"/>
    <col min="24" max="24" width="12.28515625" bestFit="1" customWidth="1"/>
    <col min="25" max="28" width="11.42578125" customWidth="1"/>
    <col min="29" max="29" width="12.28515625" bestFit="1" customWidth="1"/>
    <col min="30" max="256" width="11.42578125" customWidth="1"/>
  </cols>
  <sheetData>
    <row r="1" spans="1:29">
      <c r="T1" s="1" t="s">
        <v>0</v>
      </c>
    </row>
    <row r="2" spans="1:29">
      <c r="A2" t="s">
        <v>1</v>
      </c>
      <c r="B2">
        <f t="shared" ref="B2:E9" si="0">COUNTIF(B$13:B$6687,$A2)</f>
        <v>3</v>
      </c>
      <c r="C2">
        <f t="shared" si="0"/>
        <v>1</v>
      </c>
      <c r="D2">
        <f t="shared" si="0"/>
        <v>8</v>
      </c>
      <c r="E2">
        <f t="shared" si="0"/>
        <v>0</v>
      </c>
      <c r="F2">
        <f t="shared" ref="F2:F9" si="1">COUNTIF(F$13:F$6688,$A2)</f>
        <v>21</v>
      </c>
      <c r="G2">
        <f t="shared" ref="G2:R9" si="2">COUNTIF(G$13:G$6687,$A2)</f>
        <v>0</v>
      </c>
      <c r="H2">
        <f t="shared" si="2"/>
        <v>0</v>
      </c>
      <c r="I2">
        <f t="shared" si="2"/>
        <v>0</v>
      </c>
      <c r="J2">
        <f t="shared" si="2"/>
        <v>1</v>
      </c>
      <c r="K2">
        <f t="shared" si="2"/>
        <v>2</v>
      </c>
      <c r="L2">
        <f t="shared" si="2"/>
        <v>1</v>
      </c>
      <c r="M2">
        <f t="shared" si="2"/>
        <v>3</v>
      </c>
      <c r="N2">
        <f t="shared" si="2"/>
        <v>7</v>
      </c>
      <c r="O2">
        <f t="shared" si="2"/>
        <v>1</v>
      </c>
      <c r="P2">
        <f t="shared" si="2"/>
        <v>0</v>
      </c>
      <c r="Q2">
        <f t="shared" si="2"/>
        <v>1</v>
      </c>
      <c r="R2">
        <f t="shared" si="2"/>
        <v>15</v>
      </c>
      <c r="T2">
        <f t="shared" ref="T2:T9" si="3">SUM(B2:R2)</f>
        <v>64</v>
      </c>
      <c r="U2" s="5">
        <f t="shared" ref="U2:U9" si="4">T2/T$11</f>
        <v>0.11169284467713787</v>
      </c>
    </row>
    <row r="3" spans="1:29">
      <c r="A3" t="s">
        <v>2</v>
      </c>
      <c r="B3">
        <f t="shared" si="0"/>
        <v>4</v>
      </c>
      <c r="C3">
        <f t="shared" si="0"/>
        <v>7</v>
      </c>
      <c r="D3">
        <f t="shared" si="0"/>
        <v>15</v>
      </c>
      <c r="E3">
        <f t="shared" si="0"/>
        <v>11</v>
      </c>
      <c r="F3">
        <f t="shared" si="1"/>
        <v>29</v>
      </c>
      <c r="G3">
        <f t="shared" si="2"/>
        <v>0</v>
      </c>
      <c r="H3">
        <f t="shared" si="2"/>
        <v>2</v>
      </c>
      <c r="I3">
        <f t="shared" si="2"/>
        <v>0</v>
      </c>
      <c r="J3">
        <f t="shared" si="2"/>
        <v>0</v>
      </c>
      <c r="K3">
        <f t="shared" si="2"/>
        <v>2</v>
      </c>
      <c r="L3">
        <f t="shared" si="2"/>
        <v>2</v>
      </c>
      <c r="M3">
        <f t="shared" si="2"/>
        <v>1</v>
      </c>
      <c r="N3">
        <f t="shared" si="2"/>
        <v>16</v>
      </c>
      <c r="O3">
        <f t="shared" si="2"/>
        <v>2</v>
      </c>
      <c r="P3">
        <f t="shared" si="2"/>
        <v>0</v>
      </c>
      <c r="Q3">
        <f t="shared" si="2"/>
        <v>1</v>
      </c>
      <c r="R3">
        <f t="shared" si="2"/>
        <v>28</v>
      </c>
      <c r="T3">
        <f t="shared" si="3"/>
        <v>120</v>
      </c>
      <c r="U3" s="5">
        <f t="shared" si="4"/>
        <v>0.20942408376963351</v>
      </c>
    </row>
    <row r="4" spans="1:29">
      <c r="A4" t="s">
        <v>3</v>
      </c>
      <c r="B4">
        <f t="shared" si="0"/>
        <v>4</v>
      </c>
      <c r="C4">
        <f t="shared" si="0"/>
        <v>8</v>
      </c>
      <c r="D4">
        <f t="shared" si="0"/>
        <v>13</v>
      </c>
      <c r="E4">
        <f t="shared" si="0"/>
        <v>13</v>
      </c>
      <c r="F4">
        <f t="shared" si="1"/>
        <v>29</v>
      </c>
      <c r="G4">
        <f t="shared" si="2"/>
        <v>0</v>
      </c>
      <c r="H4">
        <f t="shared" si="2"/>
        <v>4</v>
      </c>
      <c r="I4">
        <f t="shared" si="2"/>
        <v>1</v>
      </c>
      <c r="J4">
        <f t="shared" si="2"/>
        <v>0</v>
      </c>
      <c r="K4">
        <f t="shared" si="2"/>
        <v>2</v>
      </c>
      <c r="L4">
        <f t="shared" si="2"/>
        <v>0</v>
      </c>
      <c r="M4">
        <f t="shared" si="2"/>
        <v>1</v>
      </c>
      <c r="N4">
        <f t="shared" si="2"/>
        <v>9</v>
      </c>
      <c r="O4">
        <f t="shared" si="2"/>
        <v>2</v>
      </c>
      <c r="P4">
        <f t="shared" si="2"/>
        <v>0</v>
      </c>
      <c r="Q4">
        <f t="shared" si="2"/>
        <v>1</v>
      </c>
      <c r="R4">
        <f t="shared" si="2"/>
        <v>6</v>
      </c>
      <c r="T4">
        <f t="shared" si="3"/>
        <v>93</v>
      </c>
      <c r="U4" s="5">
        <f t="shared" si="4"/>
        <v>0.16230366492146597</v>
      </c>
    </row>
    <row r="5" spans="1:29">
      <c r="A5" t="s">
        <v>4</v>
      </c>
      <c r="B5">
        <f t="shared" si="0"/>
        <v>6</v>
      </c>
      <c r="C5">
        <f t="shared" si="0"/>
        <v>1</v>
      </c>
      <c r="D5">
        <f t="shared" si="0"/>
        <v>4</v>
      </c>
      <c r="E5">
        <f t="shared" si="0"/>
        <v>1</v>
      </c>
      <c r="F5">
        <f t="shared" si="1"/>
        <v>13</v>
      </c>
      <c r="G5">
        <f t="shared" si="2"/>
        <v>0</v>
      </c>
      <c r="H5">
        <f t="shared" si="2"/>
        <v>2</v>
      </c>
      <c r="I5">
        <f t="shared" si="2"/>
        <v>0</v>
      </c>
      <c r="J5">
        <f t="shared" si="2"/>
        <v>0</v>
      </c>
      <c r="K5">
        <f t="shared" si="2"/>
        <v>1</v>
      </c>
      <c r="L5">
        <f t="shared" si="2"/>
        <v>0</v>
      </c>
      <c r="M5">
        <f t="shared" si="2"/>
        <v>0</v>
      </c>
      <c r="N5">
        <f t="shared" si="2"/>
        <v>7</v>
      </c>
      <c r="O5">
        <f t="shared" si="2"/>
        <v>0</v>
      </c>
      <c r="P5">
        <f t="shared" si="2"/>
        <v>0</v>
      </c>
      <c r="Q5">
        <f t="shared" si="2"/>
        <v>0</v>
      </c>
      <c r="R5">
        <f t="shared" si="2"/>
        <v>8</v>
      </c>
      <c r="T5">
        <f t="shared" si="3"/>
        <v>43</v>
      </c>
      <c r="U5" s="6">
        <f t="shared" si="4"/>
        <v>7.5043630017452012E-2</v>
      </c>
      <c r="AC5" s="12"/>
    </row>
    <row r="6" spans="1:29">
      <c r="A6" t="s">
        <v>5</v>
      </c>
      <c r="B6">
        <f t="shared" si="0"/>
        <v>2</v>
      </c>
      <c r="C6">
        <f t="shared" si="0"/>
        <v>5</v>
      </c>
      <c r="D6">
        <f t="shared" si="0"/>
        <v>6</v>
      </c>
      <c r="E6">
        <f t="shared" si="0"/>
        <v>2</v>
      </c>
      <c r="F6">
        <f t="shared" si="1"/>
        <v>14</v>
      </c>
      <c r="G6">
        <f t="shared" si="2"/>
        <v>0</v>
      </c>
      <c r="H6">
        <f t="shared" si="2"/>
        <v>4</v>
      </c>
      <c r="I6">
        <f t="shared" si="2"/>
        <v>0</v>
      </c>
      <c r="J6">
        <f t="shared" si="2"/>
        <v>1</v>
      </c>
      <c r="K6">
        <f t="shared" si="2"/>
        <v>1</v>
      </c>
      <c r="L6">
        <f t="shared" si="2"/>
        <v>0</v>
      </c>
      <c r="M6">
        <f t="shared" si="2"/>
        <v>0</v>
      </c>
      <c r="N6">
        <f t="shared" si="2"/>
        <v>11</v>
      </c>
      <c r="O6">
        <f t="shared" si="2"/>
        <v>2</v>
      </c>
      <c r="P6">
        <f t="shared" si="2"/>
        <v>1</v>
      </c>
      <c r="Q6">
        <f t="shared" si="2"/>
        <v>1</v>
      </c>
      <c r="R6">
        <f t="shared" si="2"/>
        <v>20</v>
      </c>
      <c r="T6">
        <f t="shared" si="3"/>
        <v>70</v>
      </c>
      <c r="U6" s="6">
        <f t="shared" si="4"/>
        <v>0.12216404886561955</v>
      </c>
    </row>
    <row r="7" spans="1:29">
      <c r="A7" t="s">
        <v>6</v>
      </c>
      <c r="B7">
        <f t="shared" si="0"/>
        <v>2</v>
      </c>
      <c r="C7">
        <f t="shared" si="0"/>
        <v>1</v>
      </c>
      <c r="D7">
        <f t="shared" si="0"/>
        <v>3</v>
      </c>
      <c r="E7">
        <f t="shared" si="0"/>
        <v>5</v>
      </c>
      <c r="F7">
        <f t="shared" si="1"/>
        <v>25</v>
      </c>
      <c r="G7">
        <f t="shared" si="2"/>
        <v>0</v>
      </c>
      <c r="H7">
        <f t="shared" si="2"/>
        <v>0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</v>
      </c>
      <c r="M7">
        <f t="shared" si="2"/>
        <v>0</v>
      </c>
      <c r="N7">
        <f t="shared" si="2"/>
        <v>1</v>
      </c>
      <c r="O7">
        <f t="shared" si="2"/>
        <v>1</v>
      </c>
      <c r="P7">
        <f t="shared" si="2"/>
        <v>0</v>
      </c>
      <c r="Q7">
        <f t="shared" si="2"/>
        <v>0</v>
      </c>
      <c r="R7">
        <f t="shared" si="2"/>
        <v>4</v>
      </c>
      <c r="T7">
        <f t="shared" si="3"/>
        <v>42</v>
      </c>
      <c r="U7" s="6">
        <f t="shared" si="4"/>
        <v>7.3298429319371722E-2</v>
      </c>
    </row>
    <row r="8" spans="1:29">
      <c r="A8" t="s">
        <v>7</v>
      </c>
      <c r="B8">
        <f t="shared" si="0"/>
        <v>6</v>
      </c>
      <c r="C8">
        <f t="shared" si="0"/>
        <v>12</v>
      </c>
      <c r="D8">
        <f t="shared" si="0"/>
        <v>15</v>
      </c>
      <c r="E8">
        <f t="shared" si="0"/>
        <v>15</v>
      </c>
      <c r="F8">
        <f t="shared" si="1"/>
        <v>29</v>
      </c>
      <c r="G8">
        <f t="shared" si="2"/>
        <v>0</v>
      </c>
      <c r="H8">
        <f t="shared" si="2"/>
        <v>2</v>
      </c>
      <c r="I8">
        <f t="shared" si="2"/>
        <v>2</v>
      </c>
      <c r="J8">
        <f t="shared" si="2"/>
        <v>3</v>
      </c>
      <c r="K8">
        <f t="shared" si="2"/>
        <v>0</v>
      </c>
      <c r="L8">
        <f t="shared" si="2"/>
        <v>1</v>
      </c>
      <c r="M8">
        <f t="shared" si="2"/>
        <v>1</v>
      </c>
      <c r="N8">
        <f t="shared" si="2"/>
        <v>14</v>
      </c>
      <c r="O8">
        <f t="shared" si="2"/>
        <v>3</v>
      </c>
      <c r="P8">
        <f t="shared" si="2"/>
        <v>1</v>
      </c>
      <c r="Q8">
        <f t="shared" si="2"/>
        <v>2</v>
      </c>
      <c r="R8">
        <f t="shared" si="2"/>
        <v>16</v>
      </c>
      <c r="T8">
        <f t="shared" si="3"/>
        <v>122</v>
      </c>
      <c r="U8" s="6">
        <f t="shared" si="4"/>
        <v>0.21291448516579406</v>
      </c>
    </row>
    <row r="9" spans="1:29">
      <c r="A9" t="s">
        <v>8</v>
      </c>
      <c r="B9">
        <f t="shared" si="0"/>
        <v>2</v>
      </c>
      <c r="C9">
        <f t="shared" si="0"/>
        <v>1</v>
      </c>
      <c r="D9">
        <f t="shared" si="0"/>
        <v>2</v>
      </c>
      <c r="E9">
        <f t="shared" si="0"/>
        <v>2</v>
      </c>
      <c r="F9">
        <f t="shared" si="1"/>
        <v>7</v>
      </c>
      <c r="G9">
        <f t="shared" si="2"/>
        <v>0</v>
      </c>
      <c r="H9">
        <f t="shared" si="2"/>
        <v>1</v>
      </c>
      <c r="I9">
        <f t="shared" si="2"/>
        <v>0</v>
      </c>
      <c r="J9">
        <f t="shared" si="2"/>
        <v>0</v>
      </c>
      <c r="K9">
        <f t="shared" si="2"/>
        <v>0</v>
      </c>
      <c r="L9">
        <f t="shared" si="2"/>
        <v>0</v>
      </c>
      <c r="M9">
        <f t="shared" si="2"/>
        <v>1</v>
      </c>
      <c r="N9">
        <f t="shared" si="2"/>
        <v>2</v>
      </c>
      <c r="O9">
        <f t="shared" si="2"/>
        <v>0</v>
      </c>
      <c r="P9">
        <f t="shared" si="2"/>
        <v>0</v>
      </c>
      <c r="Q9">
        <f t="shared" si="2"/>
        <v>0</v>
      </c>
      <c r="R9">
        <f t="shared" si="2"/>
        <v>1</v>
      </c>
      <c r="T9">
        <f t="shared" si="3"/>
        <v>19</v>
      </c>
      <c r="U9" s="6">
        <f t="shared" si="4"/>
        <v>3.3158813263525308E-2</v>
      </c>
    </row>
    <row r="11" spans="1:29">
      <c r="A11" t="s">
        <v>9</v>
      </c>
      <c r="B11">
        <f t="shared" ref="B11:R11" si="5">SUM(B2:B9)</f>
        <v>29</v>
      </c>
      <c r="C11">
        <f t="shared" si="5"/>
        <v>36</v>
      </c>
      <c r="D11">
        <f t="shared" si="5"/>
        <v>66</v>
      </c>
      <c r="E11">
        <f t="shared" si="5"/>
        <v>49</v>
      </c>
      <c r="F11">
        <f t="shared" si="5"/>
        <v>167</v>
      </c>
      <c r="G11">
        <f t="shared" si="5"/>
        <v>0</v>
      </c>
      <c r="H11">
        <f t="shared" si="5"/>
        <v>15</v>
      </c>
      <c r="I11">
        <f t="shared" si="5"/>
        <v>3</v>
      </c>
      <c r="J11">
        <f t="shared" si="5"/>
        <v>5</v>
      </c>
      <c r="K11">
        <f t="shared" si="5"/>
        <v>8</v>
      </c>
      <c r="L11">
        <f t="shared" si="5"/>
        <v>4</v>
      </c>
      <c r="M11">
        <f t="shared" si="5"/>
        <v>7</v>
      </c>
      <c r="N11">
        <f t="shared" si="5"/>
        <v>67</v>
      </c>
      <c r="O11">
        <f t="shared" si="5"/>
        <v>11</v>
      </c>
      <c r="P11">
        <f t="shared" si="5"/>
        <v>2</v>
      </c>
      <c r="Q11">
        <f t="shared" si="5"/>
        <v>6</v>
      </c>
      <c r="R11">
        <f t="shared" si="5"/>
        <v>98</v>
      </c>
      <c r="S11" s="4" t="s">
        <v>10</v>
      </c>
      <c r="T11">
        <f>SUM(T2:T9)</f>
        <v>573</v>
      </c>
      <c r="V11" s="10" t="s">
        <v>11</v>
      </c>
      <c r="W11" s="10">
        <v>2026</v>
      </c>
    </row>
    <row r="12" spans="1:29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18</v>
      </c>
      <c r="H12" s="1" t="s">
        <v>19</v>
      </c>
      <c r="I12" s="1" t="s">
        <v>20</v>
      </c>
      <c r="J12" s="1" t="s">
        <v>21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" t="s">
        <v>27</v>
      </c>
      <c r="Q12" s="1" t="s">
        <v>28</v>
      </c>
      <c r="R12" s="1" t="s">
        <v>29</v>
      </c>
      <c r="S12" s="2" t="s">
        <v>30</v>
      </c>
      <c r="T12">
        <f>ROWS(B13:R6687)*17-COUNTBLANK(B13:R6687)</f>
        <v>573</v>
      </c>
      <c r="V12" s="8" t="s">
        <v>31</v>
      </c>
      <c r="W12" s="9" t="e">
        <f ca="1">T11*_xll.DIAS.LAB(DATE(W11+1,1, 1),DATE(W11,1,1))/_xll.DIAS.LAB(TODAY(),DATE(W11,1,1))</f>
        <v>#NAME?</v>
      </c>
    </row>
    <row r="13" spans="1:29">
      <c r="A13" s="14">
        <v>46024</v>
      </c>
      <c r="B13" s="11"/>
      <c r="C13" s="11" t="s">
        <v>5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 t="s">
        <v>2</v>
      </c>
    </row>
    <row r="14" spans="1:29">
      <c r="A14" s="15">
        <v>46027</v>
      </c>
      <c r="B14" s="16"/>
      <c r="C14" s="16"/>
      <c r="D14" s="16"/>
      <c r="E14" s="16"/>
      <c r="F14" s="16" t="s">
        <v>7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spans="1:29">
      <c r="A15" s="15">
        <v>46029</v>
      </c>
      <c r="B15" s="16"/>
      <c r="C15" s="16"/>
      <c r="D15" s="16" t="s">
        <v>5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1:29">
      <c r="A16" s="15">
        <v>46030</v>
      </c>
      <c r="B16" s="16" t="s">
        <v>7</v>
      </c>
      <c r="C16" s="16"/>
      <c r="D16" s="16" t="s">
        <v>1</v>
      </c>
      <c r="E16" s="16"/>
      <c r="F16" s="16" t="s">
        <v>5</v>
      </c>
      <c r="G16" s="16"/>
      <c r="H16" s="16"/>
      <c r="I16" s="16"/>
      <c r="J16" s="16" t="s">
        <v>1</v>
      </c>
      <c r="K16" s="16"/>
      <c r="L16" s="16"/>
      <c r="M16" s="16" t="s">
        <v>2</v>
      </c>
      <c r="N16" s="16" t="s">
        <v>1</v>
      </c>
      <c r="O16" s="16"/>
      <c r="P16" s="16" t="s">
        <v>7</v>
      </c>
      <c r="Q16" s="16"/>
      <c r="R16" s="16" t="s">
        <v>1</v>
      </c>
    </row>
    <row r="17" spans="1:18">
      <c r="A17" s="15">
        <v>46031</v>
      </c>
      <c r="B17" s="16"/>
      <c r="C17" s="16"/>
      <c r="D17" s="16"/>
      <c r="E17" s="16"/>
      <c r="F17" s="16"/>
      <c r="G17" s="16"/>
      <c r="H17" s="16" t="s">
        <v>3</v>
      </c>
      <c r="I17" s="16"/>
      <c r="J17" s="16"/>
      <c r="K17" s="16"/>
      <c r="L17" s="16"/>
      <c r="M17" s="16"/>
      <c r="N17" s="16"/>
      <c r="O17" s="16"/>
      <c r="P17" s="16"/>
      <c r="Q17" s="16"/>
      <c r="R17" s="16" t="s">
        <v>5</v>
      </c>
    </row>
    <row r="18" spans="1:18">
      <c r="A18" s="3">
        <v>46034</v>
      </c>
      <c r="B18" t="s">
        <v>1</v>
      </c>
      <c r="D18" t="s">
        <v>5</v>
      </c>
      <c r="F18" t="s">
        <v>1</v>
      </c>
      <c r="H18" t="s">
        <v>5</v>
      </c>
    </row>
    <row r="19" spans="1:18">
      <c r="A19" s="3"/>
      <c r="F19" t="s">
        <v>6</v>
      </c>
    </row>
    <row r="20" spans="1:18">
      <c r="A20" s="3"/>
      <c r="F20" t="s">
        <v>3</v>
      </c>
    </row>
    <row r="21" spans="1:18">
      <c r="A21" s="3"/>
      <c r="F21" t="s">
        <v>6</v>
      </c>
    </row>
    <row r="22" spans="1:18">
      <c r="A22" s="3"/>
      <c r="F22" t="s">
        <v>3</v>
      </c>
    </row>
    <row r="23" spans="1:18">
      <c r="A23" s="3"/>
      <c r="F23" t="s">
        <v>5</v>
      </c>
    </row>
    <row r="24" spans="1:18">
      <c r="A24" s="14"/>
      <c r="B24" s="11"/>
      <c r="C24" s="11"/>
      <c r="D24" s="11"/>
      <c r="E24" s="11"/>
      <c r="F24" s="11" t="s">
        <v>1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>
      <c r="A25" s="17">
        <v>46035</v>
      </c>
      <c r="B25" s="13" t="s">
        <v>3</v>
      </c>
      <c r="C25" s="13"/>
      <c r="D25" s="13" t="s">
        <v>6</v>
      </c>
      <c r="E25" s="13"/>
      <c r="F25" s="13" t="s">
        <v>5</v>
      </c>
      <c r="G25" s="13"/>
      <c r="H25" s="13"/>
      <c r="I25" s="13"/>
      <c r="J25" s="13"/>
      <c r="K25" s="13" t="s">
        <v>5</v>
      </c>
      <c r="L25" s="13"/>
      <c r="M25" s="13"/>
      <c r="N25" s="13" t="s">
        <v>5</v>
      </c>
      <c r="O25" s="13"/>
      <c r="P25" s="13"/>
      <c r="Q25" s="13"/>
      <c r="R25" s="13" t="s">
        <v>5</v>
      </c>
    </row>
    <row r="26" spans="1:18">
      <c r="A26" s="3"/>
      <c r="F26" t="s">
        <v>3</v>
      </c>
    </row>
    <row r="27" spans="1:18">
      <c r="F27" t="s">
        <v>1</v>
      </c>
    </row>
    <row r="28" spans="1:18">
      <c r="A28" s="14"/>
      <c r="B28" s="11"/>
      <c r="C28" s="11"/>
      <c r="D28" s="11"/>
      <c r="E28" s="11"/>
      <c r="F28" s="11" t="s">
        <v>1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>
      <c r="A29" s="15">
        <v>46036</v>
      </c>
      <c r="B29" s="16"/>
      <c r="C29" s="16"/>
      <c r="D29" s="16"/>
      <c r="E29" s="16" t="s">
        <v>3</v>
      </c>
      <c r="F29" s="16" t="s">
        <v>5</v>
      </c>
      <c r="G29" s="16"/>
      <c r="H29" s="16"/>
      <c r="I29" s="16"/>
      <c r="J29" s="16"/>
      <c r="K29" s="16"/>
      <c r="L29" s="16"/>
      <c r="M29" s="16"/>
      <c r="N29" s="16"/>
      <c r="O29" s="16"/>
      <c r="P29" s="16" t="s">
        <v>5</v>
      </c>
      <c r="Q29" s="16"/>
      <c r="R29" s="16" t="s">
        <v>1</v>
      </c>
    </row>
    <row r="30" spans="1:18">
      <c r="A30" s="3">
        <v>46037</v>
      </c>
      <c r="B30" t="s">
        <v>7</v>
      </c>
      <c r="F30" t="s">
        <v>3</v>
      </c>
      <c r="N30" t="s">
        <v>1</v>
      </c>
      <c r="Q30" t="s">
        <v>1</v>
      </c>
      <c r="R30" t="s">
        <v>5</v>
      </c>
    </row>
    <row r="31" spans="1:18">
      <c r="A31" s="3"/>
      <c r="R31" t="s">
        <v>6</v>
      </c>
    </row>
    <row r="32" spans="1:18">
      <c r="A32" s="15">
        <v>46038</v>
      </c>
      <c r="B32" s="16"/>
      <c r="C32" s="16"/>
      <c r="D32" s="16"/>
      <c r="E32" s="16" t="s">
        <v>2</v>
      </c>
      <c r="F32" s="16"/>
      <c r="G32" s="16"/>
      <c r="H32" s="16"/>
      <c r="I32" s="16"/>
      <c r="J32" s="16" t="s">
        <v>7</v>
      </c>
      <c r="K32" s="16"/>
      <c r="L32" s="16"/>
      <c r="M32" s="16"/>
      <c r="N32" s="16"/>
      <c r="O32" s="16"/>
      <c r="P32" s="16"/>
      <c r="Q32" s="16"/>
      <c r="R32" s="16"/>
    </row>
    <row r="33" spans="1:18">
      <c r="A33" s="3">
        <v>46041</v>
      </c>
      <c r="B33" t="s">
        <v>1</v>
      </c>
      <c r="F33" t="s">
        <v>7</v>
      </c>
      <c r="J33" t="s">
        <v>5</v>
      </c>
    </row>
    <row r="34" spans="1:18">
      <c r="A34" s="3"/>
      <c r="B34" t="s">
        <v>2</v>
      </c>
      <c r="D34" s="11"/>
    </row>
    <row r="35" spans="1:18">
      <c r="A35" s="17">
        <v>46042</v>
      </c>
      <c r="B35" s="13"/>
      <c r="C35" s="13" t="s">
        <v>2</v>
      </c>
      <c r="D35" t="s">
        <v>1</v>
      </c>
      <c r="E35" s="13" t="s">
        <v>7</v>
      </c>
      <c r="F35" s="13" t="s">
        <v>5</v>
      </c>
      <c r="G35" s="13"/>
      <c r="H35" s="13"/>
      <c r="I35" s="13"/>
      <c r="J35" s="13"/>
      <c r="K35" s="13"/>
      <c r="L35" s="13"/>
      <c r="M35" s="13"/>
      <c r="N35" s="13" t="s">
        <v>5</v>
      </c>
      <c r="O35" s="13"/>
      <c r="P35" s="13"/>
      <c r="Q35" s="13"/>
      <c r="R35" s="13" t="s">
        <v>2</v>
      </c>
    </row>
    <row r="36" spans="1:18">
      <c r="C36" t="s">
        <v>3</v>
      </c>
      <c r="N36" t="s">
        <v>2</v>
      </c>
    </row>
    <row r="37" spans="1:18">
      <c r="A37" s="14"/>
      <c r="B37" s="11"/>
      <c r="C37" s="11" t="s">
        <v>7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>
      <c r="A38" s="15">
        <v>46043</v>
      </c>
      <c r="B38" s="16"/>
      <c r="C38" s="16"/>
      <c r="D38" s="16"/>
      <c r="E38" s="16" t="s">
        <v>5</v>
      </c>
      <c r="F38" s="16" t="s">
        <v>3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 t="s">
        <v>5</v>
      </c>
    </row>
    <row r="39" spans="1:18">
      <c r="A39" s="3">
        <v>46044</v>
      </c>
      <c r="D39" t="s">
        <v>2</v>
      </c>
      <c r="E39" t="s">
        <v>3</v>
      </c>
      <c r="F39" t="s">
        <v>7</v>
      </c>
      <c r="N39" t="s">
        <v>7</v>
      </c>
      <c r="R39" t="s">
        <v>5</v>
      </c>
    </row>
    <row r="40" spans="1:18">
      <c r="A40" s="14"/>
      <c r="B40" s="11"/>
      <c r="C40" s="11"/>
      <c r="D40" s="11"/>
      <c r="E40" s="11"/>
      <c r="F40" s="11" t="s">
        <v>7</v>
      </c>
      <c r="G40" s="11"/>
      <c r="H40" s="11"/>
      <c r="I40" s="11"/>
      <c r="J40" s="11"/>
      <c r="K40" s="11"/>
      <c r="L40" s="11"/>
      <c r="M40" s="11"/>
      <c r="N40" s="11" t="s">
        <v>1</v>
      </c>
      <c r="O40" s="11"/>
      <c r="P40" s="11"/>
      <c r="Q40" s="11"/>
      <c r="R40" s="11" t="s">
        <v>2</v>
      </c>
    </row>
    <row r="41" spans="1:18">
      <c r="A41" s="3">
        <v>46045</v>
      </c>
      <c r="B41" t="s">
        <v>5</v>
      </c>
      <c r="D41" t="s">
        <v>5</v>
      </c>
      <c r="F41" t="s">
        <v>2</v>
      </c>
      <c r="R41" t="s">
        <v>7</v>
      </c>
    </row>
    <row r="42" spans="1:18">
      <c r="A42" s="3"/>
      <c r="F42" t="s">
        <v>5</v>
      </c>
    </row>
    <row r="43" spans="1:18">
      <c r="A43" s="17">
        <v>46048</v>
      </c>
      <c r="B43" s="13"/>
      <c r="C43" s="13"/>
      <c r="D43" s="13"/>
      <c r="E43" s="13" t="s">
        <v>7</v>
      </c>
      <c r="F43" s="13" t="s">
        <v>3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1:18">
      <c r="A44" s="14"/>
      <c r="B44" s="11"/>
      <c r="C44" s="11"/>
      <c r="D44" s="11"/>
      <c r="E44" s="11"/>
      <c r="F44" s="11" t="s">
        <v>1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>
      <c r="A45" s="3">
        <v>46049</v>
      </c>
      <c r="D45" t="s">
        <v>3</v>
      </c>
      <c r="F45" t="s">
        <v>7</v>
      </c>
      <c r="N45" t="s">
        <v>5</v>
      </c>
      <c r="O45" t="s">
        <v>2</v>
      </c>
    </row>
    <row r="46" spans="1:18">
      <c r="F46" t="s">
        <v>5</v>
      </c>
    </row>
    <row r="47" spans="1:18">
      <c r="A47" s="17">
        <v>46050</v>
      </c>
      <c r="B47" s="13"/>
      <c r="C47" s="13"/>
      <c r="D47" s="13" t="s">
        <v>7</v>
      </c>
      <c r="E47" s="13" t="s">
        <v>2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 t="s">
        <v>5</v>
      </c>
    </row>
    <row r="48" spans="1:18">
      <c r="D48" t="s">
        <v>1</v>
      </c>
    </row>
    <row r="49" spans="1:18">
      <c r="A49" s="14"/>
      <c r="B49" s="11"/>
      <c r="C49" s="11"/>
      <c r="D49" s="11" t="s">
        <v>3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</row>
    <row r="50" spans="1:18">
      <c r="A50" s="3">
        <v>46051</v>
      </c>
      <c r="B50" t="s">
        <v>1</v>
      </c>
      <c r="C50" t="s">
        <v>7</v>
      </c>
      <c r="I50" t="s">
        <v>7</v>
      </c>
      <c r="K50" t="s">
        <v>3</v>
      </c>
      <c r="R50" t="s">
        <v>1</v>
      </c>
    </row>
    <row r="51" spans="1:18">
      <c r="R51" t="s">
        <v>7</v>
      </c>
    </row>
    <row r="52" spans="1:18">
      <c r="A52" s="14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 t="s">
        <v>2</v>
      </c>
    </row>
    <row r="53" spans="1:18">
      <c r="A53" s="3">
        <v>46052</v>
      </c>
      <c r="B53" t="s">
        <v>2</v>
      </c>
      <c r="E53" t="s">
        <v>7</v>
      </c>
      <c r="R53" t="s">
        <v>2</v>
      </c>
    </row>
    <row r="54" spans="1:18">
      <c r="A54" s="14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 t="s">
        <v>6</v>
      </c>
    </row>
    <row r="55" spans="1:18">
      <c r="A55" s="3">
        <v>46055</v>
      </c>
      <c r="D55" s="2"/>
      <c r="F55" t="s">
        <v>3</v>
      </c>
      <c r="N55" t="s">
        <v>3</v>
      </c>
      <c r="R55" t="s">
        <v>5</v>
      </c>
    </row>
    <row r="56" spans="1:18">
      <c r="D56" s="18"/>
      <c r="F56" t="s">
        <v>2</v>
      </c>
    </row>
    <row r="57" spans="1:18">
      <c r="A57" s="14"/>
      <c r="B57" s="11"/>
      <c r="C57" s="11"/>
      <c r="D57" s="11"/>
      <c r="E57" s="11"/>
      <c r="F57" s="11" t="s">
        <v>7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</row>
    <row r="58" spans="1:18">
      <c r="A58" s="3">
        <v>46056</v>
      </c>
      <c r="D58" t="s">
        <v>2</v>
      </c>
      <c r="E58" t="s">
        <v>3</v>
      </c>
      <c r="F58" t="s">
        <v>6</v>
      </c>
      <c r="O58" t="s">
        <v>5</v>
      </c>
      <c r="R58" t="s">
        <v>2</v>
      </c>
    </row>
    <row r="59" spans="1:18">
      <c r="D59" t="s">
        <v>6</v>
      </c>
      <c r="E59" t="s">
        <v>7</v>
      </c>
      <c r="F59" t="s">
        <v>6</v>
      </c>
      <c r="R59" t="s">
        <v>3</v>
      </c>
    </row>
    <row r="60" spans="1:18">
      <c r="A60" s="14"/>
      <c r="B60" s="11"/>
      <c r="C60" s="11"/>
      <c r="D60" s="11" t="s">
        <v>1</v>
      </c>
      <c r="E60" s="11"/>
      <c r="F60" s="11" t="s">
        <v>1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</row>
    <row r="61" spans="1:18">
      <c r="A61" s="3">
        <v>46057</v>
      </c>
      <c r="B61" t="s">
        <v>3</v>
      </c>
      <c r="E61" t="s">
        <v>2</v>
      </c>
      <c r="H61" t="s">
        <v>3</v>
      </c>
      <c r="J61" t="s">
        <v>7</v>
      </c>
      <c r="N61" t="s">
        <v>5</v>
      </c>
    </row>
    <row r="62" spans="1:18">
      <c r="A62" s="11"/>
      <c r="B62" s="11"/>
      <c r="C62" s="11"/>
      <c r="D62" s="11"/>
      <c r="E62" s="11"/>
      <c r="F62" s="11"/>
      <c r="G62" s="11"/>
      <c r="H62" s="11" t="s">
        <v>2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</row>
    <row r="63" spans="1:18">
      <c r="A63" s="15">
        <v>46058</v>
      </c>
      <c r="B63" s="16"/>
      <c r="C63" s="16" t="s">
        <v>7</v>
      </c>
      <c r="D63" s="16"/>
      <c r="E63" s="16"/>
      <c r="F63" s="16" t="s">
        <v>3</v>
      </c>
      <c r="G63" s="16"/>
      <c r="H63" s="16"/>
      <c r="I63" s="16"/>
      <c r="J63" s="16"/>
      <c r="K63" s="16"/>
      <c r="L63" s="16"/>
      <c r="M63" s="16"/>
      <c r="N63" s="16" t="s">
        <v>2</v>
      </c>
      <c r="O63" s="16"/>
      <c r="P63" s="16"/>
      <c r="Q63" s="16"/>
      <c r="R63" s="16"/>
    </row>
    <row r="64" spans="1:18">
      <c r="A64" s="3">
        <v>46059</v>
      </c>
      <c r="C64" t="s">
        <v>5</v>
      </c>
      <c r="F64" t="s">
        <v>1</v>
      </c>
      <c r="N64" t="s">
        <v>5</v>
      </c>
      <c r="Q64" t="s">
        <v>3</v>
      </c>
      <c r="R64" t="s">
        <v>7</v>
      </c>
    </row>
    <row r="65" spans="1:18">
      <c r="F65" t="s">
        <v>2</v>
      </c>
      <c r="R65" t="s">
        <v>2</v>
      </c>
    </row>
    <row r="66" spans="1:18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 t="s">
        <v>7</v>
      </c>
    </row>
    <row r="67" spans="1:18">
      <c r="A67" s="3">
        <v>46062</v>
      </c>
      <c r="D67" t="s">
        <v>5</v>
      </c>
      <c r="E67" t="s">
        <v>6</v>
      </c>
      <c r="F67" t="s">
        <v>6</v>
      </c>
      <c r="N67" t="s">
        <v>7</v>
      </c>
    </row>
    <row r="68" spans="1:18">
      <c r="A68" s="17">
        <v>46063</v>
      </c>
      <c r="B68" s="13" t="s">
        <v>7</v>
      </c>
      <c r="C68" s="13"/>
      <c r="D68" s="13" t="s">
        <v>3</v>
      </c>
      <c r="E68" s="13"/>
      <c r="F68" s="13" t="s">
        <v>1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 t="s">
        <v>2</v>
      </c>
    </row>
    <row r="69" spans="1:18">
      <c r="B69" t="s">
        <v>3</v>
      </c>
      <c r="D69" t="s">
        <v>2</v>
      </c>
    </row>
    <row r="70" spans="1:18">
      <c r="A70" s="11"/>
      <c r="B70" s="11"/>
      <c r="C70" s="11"/>
      <c r="D70" s="11" t="s">
        <v>7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</row>
    <row r="71" spans="1:18">
      <c r="A71" s="3">
        <v>46064</v>
      </c>
      <c r="D71" t="s">
        <v>1</v>
      </c>
      <c r="E71" t="s">
        <v>7</v>
      </c>
      <c r="F71" t="s">
        <v>3</v>
      </c>
      <c r="O71" t="s">
        <v>1</v>
      </c>
    </row>
    <row r="72" spans="1:18">
      <c r="E72" t="s">
        <v>2</v>
      </c>
    </row>
    <row r="73" spans="1:18">
      <c r="A73" s="11"/>
      <c r="B73" s="11"/>
      <c r="C73" s="11"/>
      <c r="D73" s="11"/>
      <c r="E73" s="11" t="s">
        <v>5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</row>
    <row r="74" spans="1:18">
      <c r="A74" s="3">
        <v>46065</v>
      </c>
      <c r="H74" t="s">
        <v>5</v>
      </c>
      <c r="N74" t="s">
        <v>2</v>
      </c>
    </row>
    <row r="75" spans="1:18">
      <c r="A75" s="11"/>
      <c r="B75" s="11"/>
      <c r="C75" s="11"/>
      <c r="D75" s="11"/>
      <c r="E75" s="11"/>
      <c r="F75" s="11"/>
      <c r="G75" s="11"/>
      <c r="H75" s="11" t="s">
        <v>3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</row>
    <row r="76" spans="1:18">
      <c r="A76" s="3">
        <v>46066</v>
      </c>
      <c r="D76" t="s">
        <v>2</v>
      </c>
      <c r="N76" t="s">
        <v>5</v>
      </c>
      <c r="O76" t="s">
        <v>7</v>
      </c>
      <c r="R76" t="s">
        <v>2</v>
      </c>
    </row>
    <row r="77" spans="1:18">
      <c r="D77" t="s">
        <v>7</v>
      </c>
    </row>
    <row r="78" spans="1:18">
      <c r="A78" s="11"/>
      <c r="B78" s="11"/>
      <c r="C78" s="11"/>
      <c r="D78" s="11" t="s">
        <v>7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</row>
    <row r="79" spans="1:18">
      <c r="A79" s="15">
        <v>46069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 t="s">
        <v>3</v>
      </c>
      <c r="O79" s="16"/>
      <c r="P79" s="16"/>
      <c r="Q79" s="16"/>
      <c r="R79" s="16" t="s">
        <v>5</v>
      </c>
    </row>
    <row r="80" spans="1:18">
      <c r="A80" s="15">
        <v>46070</v>
      </c>
      <c r="B80" s="16"/>
      <c r="C80" s="16"/>
      <c r="D80" s="16" t="s">
        <v>3</v>
      </c>
      <c r="E80" s="16"/>
      <c r="F80" s="16" t="s">
        <v>2</v>
      </c>
      <c r="G80" s="16"/>
      <c r="H80" s="16"/>
      <c r="I80" s="16"/>
      <c r="J80" s="16"/>
      <c r="K80" s="16"/>
      <c r="L80" s="16"/>
      <c r="M80" s="16"/>
      <c r="N80" s="16"/>
      <c r="O80" s="16" t="s">
        <v>7</v>
      </c>
      <c r="P80" s="16"/>
      <c r="Q80" s="16" t="s">
        <v>5</v>
      </c>
      <c r="R80" s="16" t="s">
        <v>5</v>
      </c>
    </row>
    <row r="81" spans="1:18">
      <c r="A81" s="15">
        <v>46071</v>
      </c>
      <c r="B81" s="16"/>
      <c r="C81" s="16" t="s">
        <v>3</v>
      </c>
      <c r="D81" s="16"/>
      <c r="E81" s="16"/>
      <c r="F81" s="16" t="s">
        <v>6</v>
      </c>
      <c r="G81" s="16"/>
      <c r="H81" s="16"/>
      <c r="I81" s="16"/>
      <c r="J81" s="16"/>
      <c r="K81" s="16"/>
      <c r="L81" s="16" t="s">
        <v>1</v>
      </c>
      <c r="M81" s="16"/>
      <c r="N81" s="16"/>
      <c r="O81" s="16"/>
      <c r="P81" s="16"/>
      <c r="Q81" s="16"/>
      <c r="R81" s="16" t="s">
        <v>2</v>
      </c>
    </row>
    <row r="82" spans="1:18">
      <c r="A82" s="3">
        <v>46072</v>
      </c>
      <c r="B82" t="s">
        <v>2</v>
      </c>
      <c r="C82" t="s">
        <v>7</v>
      </c>
      <c r="D82" t="s">
        <v>2</v>
      </c>
      <c r="E82" t="s">
        <v>3</v>
      </c>
      <c r="F82" t="s">
        <v>7</v>
      </c>
      <c r="I82" t="s">
        <v>3</v>
      </c>
      <c r="N82" t="s">
        <v>7</v>
      </c>
      <c r="R82" t="s">
        <v>5</v>
      </c>
    </row>
    <row r="83" spans="1:18">
      <c r="A83" s="11"/>
      <c r="B83" s="11"/>
      <c r="C83" s="11"/>
      <c r="D83" s="11" t="s">
        <v>1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 t="s">
        <v>7</v>
      </c>
    </row>
    <row r="84" spans="1:18">
      <c r="A84" s="17">
        <v>46073</v>
      </c>
      <c r="B84" s="13"/>
      <c r="C84" s="13" t="s">
        <v>2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 t="s">
        <v>1</v>
      </c>
    </row>
    <row r="85" spans="1:18">
      <c r="A85" s="3"/>
      <c r="R85" t="s">
        <v>1</v>
      </c>
    </row>
    <row r="86" spans="1:18">
      <c r="A86" s="3"/>
      <c r="R86" t="s">
        <v>1</v>
      </c>
    </row>
    <row r="87" spans="1:18">
      <c r="A87" s="14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 t="s">
        <v>1</v>
      </c>
    </row>
    <row r="88" spans="1:18">
      <c r="A88" s="3">
        <v>46076</v>
      </c>
      <c r="C88" t="s">
        <v>3</v>
      </c>
      <c r="E88" t="s">
        <v>6</v>
      </c>
      <c r="F88" t="s">
        <v>6</v>
      </c>
      <c r="R88" t="s">
        <v>3</v>
      </c>
    </row>
    <row r="89" spans="1:18">
      <c r="F89" t="s">
        <v>2</v>
      </c>
    </row>
    <row r="90" spans="1:18">
      <c r="A90" s="11"/>
      <c r="B90" s="11"/>
      <c r="C90" s="11"/>
      <c r="D90" s="11"/>
      <c r="E90" s="11"/>
      <c r="F90" s="11" t="s">
        <v>7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</row>
    <row r="91" spans="1:18">
      <c r="A91" s="3">
        <v>46077</v>
      </c>
      <c r="F91" t="s">
        <v>2</v>
      </c>
      <c r="O91" t="s">
        <v>3</v>
      </c>
      <c r="R91" t="s">
        <v>2</v>
      </c>
    </row>
    <row r="92" spans="1:18">
      <c r="F92" t="s">
        <v>5</v>
      </c>
    </row>
    <row r="93" spans="1:18">
      <c r="F93" t="s">
        <v>7</v>
      </c>
    </row>
    <row r="94" spans="1:18">
      <c r="A94" s="17">
        <v>46078</v>
      </c>
      <c r="B94" s="13"/>
      <c r="C94" s="13"/>
      <c r="D94" s="13" t="s">
        <v>7</v>
      </c>
      <c r="E94" s="13"/>
      <c r="F94" s="13" t="s">
        <v>1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 spans="1:18">
      <c r="A95" s="11"/>
      <c r="B95" s="11"/>
      <c r="C95" s="11"/>
      <c r="D95" s="11"/>
      <c r="E95" s="11"/>
      <c r="F95" s="11" t="s">
        <v>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</row>
    <row r="96" spans="1:18">
      <c r="A96" s="3">
        <v>46079</v>
      </c>
      <c r="C96" t="s">
        <v>7</v>
      </c>
      <c r="D96" t="s">
        <v>2</v>
      </c>
      <c r="E96" t="s">
        <v>7</v>
      </c>
      <c r="F96" t="s">
        <v>7</v>
      </c>
      <c r="N96" t="s">
        <v>2</v>
      </c>
      <c r="Q96" t="s">
        <v>2</v>
      </c>
      <c r="R96" t="s">
        <v>7</v>
      </c>
    </row>
    <row r="97" spans="1:18">
      <c r="F97" t="s">
        <v>3</v>
      </c>
      <c r="N97" t="s">
        <v>5</v>
      </c>
    </row>
    <row r="98" spans="1:1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 t="s">
        <v>3</v>
      </c>
      <c r="O98" s="11"/>
      <c r="P98" s="11"/>
      <c r="Q98" s="11"/>
      <c r="R98" s="11"/>
    </row>
    <row r="99" spans="1:18">
      <c r="A99" s="17">
        <v>46080</v>
      </c>
      <c r="B99" s="13"/>
      <c r="C99" s="13" t="s">
        <v>5</v>
      </c>
      <c r="D99" s="13"/>
      <c r="E99" s="13"/>
      <c r="F99" s="13" t="s">
        <v>6</v>
      </c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 t="s">
        <v>1</v>
      </c>
    </row>
    <row r="100" spans="1:18">
      <c r="F100" t="s">
        <v>1</v>
      </c>
      <c r="R100" t="s">
        <v>1</v>
      </c>
    </row>
    <row r="101" spans="1:18">
      <c r="A101" s="11"/>
      <c r="B101" s="11"/>
      <c r="C101" s="11"/>
      <c r="D101" s="11"/>
      <c r="E101" s="11"/>
      <c r="F101" s="11" t="s">
        <v>5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</row>
    <row r="102" spans="1:18">
      <c r="A102" s="3">
        <v>46083</v>
      </c>
      <c r="C102" t="s">
        <v>5</v>
      </c>
      <c r="F102" t="s">
        <v>2</v>
      </c>
      <c r="M102" t="s">
        <v>7</v>
      </c>
      <c r="R102" t="s">
        <v>2</v>
      </c>
    </row>
    <row r="103" spans="1:18">
      <c r="C103" t="s">
        <v>3</v>
      </c>
      <c r="F103" t="s">
        <v>6</v>
      </c>
      <c r="R103" t="s">
        <v>1</v>
      </c>
    </row>
    <row r="104" spans="1:18">
      <c r="A104" s="11"/>
      <c r="B104" s="11"/>
      <c r="C104" s="11" t="s">
        <v>7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</row>
    <row r="105" spans="1:18">
      <c r="A105" s="17">
        <v>46084</v>
      </c>
      <c r="B105" s="13" t="s">
        <v>7</v>
      </c>
      <c r="C105" s="13"/>
      <c r="D105" s="13"/>
      <c r="E105" s="13"/>
      <c r="F105" s="13" t="s">
        <v>6</v>
      </c>
      <c r="G105" s="13"/>
      <c r="H105" s="13"/>
      <c r="I105" s="13"/>
      <c r="J105" s="13"/>
      <c r="K105" s="13"/>
      <c r="L105" s="13"/>
      <c r="M105" s="13"/>
      <c r="N105" s="13" t="s">
        <v>2</v>
      </c>
      <c r="O105" s="13"/>
      <c r="P105" s="13"/>
      <c r="Q105" s="13"/>
      <c r="R105" s="13" t="s">
        <v>2</v>
      </c>
    </row>
    <row r="106" spans="1:18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 t="s">
        <v>7</v>
      </c>
      <c r="O106" s="11"/>
      <c r="P106" s="11"/>
      <c r="Q106" s="11"/>
      <c r="R106" s="11" t="s">
        <v>5</v>
      </c>
    </row>
    <row r="107" spans="1:18">
      <c r="A107" s="3">
        <v>46085</v>
      </c>
      <c r="D107" t="s">
        <v>7</v>
      </c>
      <c r="F107" t="s">
        <v>2</v>
      </c>
      <c r="H107" t="s">
        <v>2</v>
      </c>
      <c r="N107" t="s">
        <v>7</v>
      </c>
      <c r="O107" t="s">
        <v>5</v>
      </c>
      <c r="R107" t="s">
        <v>3</v>
      </c>
    </row>
    <row r="108" spans="1:18">
      <c r="D108" t="s">
        <v>3</v>
      </c>
      <c r="F108" t="s">
        <v>3</v>
      </c>
      <c r="R108" t="s">
        <v>7</v>
      </c>
    </row>
    <row r="109" spans="1:18">
      <c r="D109" t="s">
        <v>2</v>
      </c>
      <c r="F109" t="s">
        <v>5</v>
      </c>
      <c r="R109" t="s">
        <v>2</v>
      </c>
    </row>
    <row r="110" spans="1:18">
      <c r="A110" s="11"/>
      <c r="B110" s="11"/>
      <c r="C110" s="11"/>
      <c r="D110" s="11"/>
      <c r="E110" s="11"/>
      <c r="F110" s="11" t="s">
        <v>6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 t="s">
        <v>3</v>
      </c>
    </row>
    <row r="111" spans="1:18">
      <c r="A111" s="3">
        <v>46086</v>
      </c>
      <c r="F111" t="s">
        <v>6</v>
      </c>
    </row>
    <row r="112" spans="1:18">
      <c r="A112" s="11"/>
      <c r="B112" s="11"/>
      <c r="C112" s="11"/>
      <c r="D112" s="11"/>
      <c r="E112" s="11"/>
      <c r="F112" s="11" t="s">
        <v>1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</row>
    <row r="113" spans="1:18">
      <c r="A113" s="3">
        <v>46087</v>
      </c>
      <c r="C113" t="s">
        <v>2</v>
      </c>
      <c r="D113" t="s">
        <v>5</v>
      </c>
      <c r="F113" t="s">
        <v>6</v>
      </c>
      <c r="N113" t="s">
        <v>3</v>
      </c>
    </row>
    <row r="114" spans="1:18">
      <c r="C114" t="s">
        <v>7</v>
      </c>
      <c r="N114" s="18" t="s">
        <v>6</v>
      </c>
    </row>
    <row r="115" spans="1:18">
      <c r="A115" s="11"/>
      <c r="B115" s="11"/>
      <c r="C115" s="11" t="s">
        <v>3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</row>
    <row r="116" spans="1:18">
      <c r="A116" s="15">
        <v>46090</v>
      </c>
      <c r="B116" s="16"/>
      <c r="C116" s="16"/>
      <c r="D116" s="16"/>
      <c r="E116" s="16"/>
      <c r="F116" s="16"/>
      <c r="G116" s="16"/>
      <c r="H116" s="16" t="s">
        <v>7</v>
      </c>
      <c r="I116" s="16"/>
      <c r="J116" s="16"/>
      <c r="K116" s="16"/>
      <c r="L116" s="16"/>
      <c r="M116" s="16"/>
      <c r="N116" s="16" t="s">
        <v>5</v>
      </c>
      <c r="O116" s="16"/>
      <c r="P116" s="16"/>
      <c r="Q116" s="16"/>
      <c r="R116" s="16"/>
    </row>
    <row r="117" spans="1:18">
      <c r="A117" s="3">
        <v>46091</v>
      </c>
      <c r="D117" t="s">
        <v>6</v>
      </c>
      <c r="E117" t="s">
        <v>2</v>
      </c>
      <c r="F117" t="s">
        <v>3</v>
      </c>
    </row>
    <row r="118" spans="1:18">
      <c r="F118" t="s">
        <v>7</v>
      </c>
    </row>
    <row r="119" spans="1:18">
      <c r="F119" t="s">
        <v>2</v>
      </c>
    </row>
    <row r="120" spans="1:18">
      <c r="A120" s="11"/>
      <c r="B120" s="11"/>
      <c r="C120" s="11"/>
      <c r="D120" s="11"/>
      <c r="E120" s="11"/>
      <c r="F120" s="11" t="s">
        <v>5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</row>
    <row r="121" spans="1:18">
      <c r="A121" s="3">
        <v>46092</v>
      </c>
      <c r="D121" t="s">
        <v>3</v>
      </c>
      <c r="F121" t="s">
        <v>3</v>
      </c>
      <c r="R121" t="s">
        <v>7</v>
      </c>
    </row>
    <row r="122" spans="1:18">
      <c r="A122" s="3"/>
      <c r="F122" t="s">
        <v>7</v>
      </c>
    </row>
    <row r="123" spans="1:18">
      <c r="A123" s="11"/>
      <c r="B123" s="11"/>
      <c r="C123" s="11"/>
      <c r="D123" s="11"/>
      <c r="E123" s="11"/>
      <c r="F123" s="11" t="s">
        <v>7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</row>
    <row r="124" spans="1:18">
      <c r="A124" s="3">
        <v>46093</v>
      </c>
      <c r="F124" t="s">
        <v>5</v>
      </c>
      <c r="N124" t="s">
        <v>2</v>
      </c>
    </row>
    <row r="125" spans="1:18">
      <c r="F125" t="s">
        <v>3</v>
      </c>
    </row>
    <row r="126" spans="1:18">
      <c r="F126" t="s">
        <v>7</v>
      </c>
    </row>
    <row r="127" spans="1:18">
      <c r="A127" s="11"/>
      <c r="B127" s="11"/>
      <c r="C127" s="11"/>
      <c r="D127" s="11"/>
      <c r="E127" s="11"/>
      <c r="F127" s="11" t="s">
        <v>2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</row>
    <row r="128" spans="1:18">
      <c r="A128" s="3">
        <v>46094</v>
      </c>
      <c r="C128" t="s">
        <v>2</v>
      </c>
      <c r="F128" t="s">
        <v>5</v>
      </c>
      <c r="R128" t="s">
        <v>5</v>
      </c>
    </row>
    <row r="129" spans="1:18">
      <c r="A129" s="11"/>
      <c r="B129" s="11"/>
      <c r="C129" s="11" t="s">
        <v>7</v>
      </c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</row>
    <row r="130" spans="1:18">
      <c r="A130" s="15">
        <v>46097</v>
      </c>
      <c r="B130" s="16"/>
      <c r="C130" s="16" t="s">
        <v>3</v>
      </c>
      <c r="D130" s="16"/>
      <c r="E130" s="16" t="s">
        <v>7</v>
      </c>
      <c r="F130" s="16" t="s">
        <v>6</v>
      </c>
      <c r="G130" s="16"/>
      <c r="H130" s="16" t="s">
        <v>5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</row>
    <row r="131" spans="1:18">
      <c r="A131" s="15">
        <v>46098</v>
      </c>
      <c r="B131" s="16"/>
      <c r="C131" s="16"/>
      <c r="D131" s="16"/>
      <c r="E131" s="16"/>
      <c r="F131" s="16" t="s">
        <v>2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 t="s">
        <v>5</v>
      </c>
    </row>
    <row r="132" spans="1:18">
      <c r="A132" s="3">
        <v>46099</v>
      </c>
      <c r="D132" t="s">
        <v>7</v>
      </c>
      <c r="F132" t="s">
        <v>6</v>
      </c>
    </row>
    <row r="133" spans="1:18">
      <c r="D133" t="s">
        <v>2</v>
      </c>
      <c r="F133" t="s">
        <v>3</v>
      </c>
    </row>
    <row r="134" spans="1:18">
      <c r="A134" s="11"/>
      <c r="B134" s="11"/>
      <c r="C134" s="11"/>
      <c r="D134" s="11" t="s">
        <v>3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</row>
    <row r="135" spans="1:18">
      <c r="A135" s="3">
        <v>46100</v>
      </c>
      <c r="E135" t="s">
        <v>7</v>
      </c>
      <c r="F135" t="s">
        <v>1</v>
      </c>
      <c r="M135" t="s">
        <v>3</v>
      </c>
      <c r="R135" t="s">
        <v>2</v>
      </c>
    </row>
    <row r="136" spans="1:18">
      <c r="A136" s="11"/>
      <c r="B136" s="11"/>
      <c r="C136" s="11"/>
      <c r="D136" s="11"/>
      <c r="E136" s="11"/>
      <c r="F136" s="11" t="s">
        <v>1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 t="s">
        <v>1</v>
      </c>
    </row>
    <row r="137" spans="1:18">
      <c r="A137" s="3">
        <v>46101</v>
      </c>
      <c r="D137" t="s">
        <v>7</v>
      </c>
      <c r="F137" t="s">
        <v>7</v>
      </c>
      <c r="L137" t="s">
        <v>2</v>
      </c>
      <c r="N137" t="s">
        <v>5</v>
      </c>
    </row>
    <row r="138" spans="1:18">
      <c r="D138" t="s">
        <v>3</v>
      </c>
      <c r="F138" t="s">
        <v>2</v>
      </c>
      <c r="N138" t="s">
        <v>5</v>
      </c>
    </row>
    <row r="139" spans="1:18">
      <c r="A139" s="11"/>
      <c r="B139" s="11"/>
      <c r="C139" s="11"/>
      <c r="D139" s="11"/>
      <c r="E139" s="11"/>
      <c r="F139" s="11" t="s">
        <v>3</v>
      </c>
      <c r="G139" s="11"/>
      <c r="H139" s="11"/>
      <c r="I139" s="11"/>
      <c r="J139" s="11"/>
      <c r="K139" s="11"/>
      <c r="L139" s="11"/>
      <c r="M139" s="11"/>
      <c r="N139" s="11" t="s">
        <v>3</v>
      </c>
      <c r="O139" s="11"/>
      <c r="P139" s="11"/>
      <c r="Q139" s="11"/>
      <c r="R139" s="11"/>
    </row>
    <row r="140" spans="1:18">
      <c r="A140" s="20">
        <v>46104</v>
      </c>
      <c r="B140" s="2" t="s">
        <v>5</v>
      </c>
      <c r="C140" s="2"/>
      <c r="D140" s="2" t="s">
        <v>2</v>
      </c>
      <c r="E140" s="2"/>
      <c r="F140" s="2" t="s">
        <v>1</v>
      </c>
      <c r="G140" s="2"/>
      <c r="H140" s="2"/>
      <c r="I140" s="2"/>
      <c r="J140" s="2"/>
      <c r="K140" s="2"/>
      <c r="L140" s="2"/>
      <c r="M140" s="2"/>
      <c r="N140" s="2" t="s">
        <v>7</v>
      </c>
      <c r="O140" s="2" t="s">
        <v>6</v>
      </c>
      <c r="P140" s="2"/>
      <c r="Q140" s="2"/>
      <c r="R140" s="18"/>
    </row>
    <row r="141" spans="1:18">
      <c r="A141" s="2"/>
      <c r="B141" s="2"/>
      <c r="C141" s="2"/>
      <c r="D141" s="2" t="s">
        <v>7</v>
      </c>
      <c r="E141" s="2"/>
      <c r="F141" s="2" t="s">
        <v>2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18"/>
    </row>
    <row r="142" spans="1:18">
      <c r="A142" s="21"/>
      <c r="B142" s="21"/>
      <c r="C142" s="21"/>
      <c r="D142" s="21"/>
      <c r="E142" s="21"/>
      <c r="F142" s="21" t="s">
        <v>3</v>
      </c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19"/>
    </row>
    <row r="143" spans="1:18">
      <c r="A143" s="20">
        <v>46105</v>
      </c>
      <c r="C143" t="s">
        <v>7</v>
      </c>
      <c r="D143" s="2" t="s">
        <v>1</v>
      </c>
      <c r="E143" t="s">
        <v>3</v>
      </c>
      <c r="F143" s="2" t="s">
        <v>7</v>
      </c>
      <c r="O143" t="s">
        <v>2</v>
      </c>
      <c r="R143" s="2" t="s">
        <v>5</v>
      </c>
    </row>
    <row r="144" spans="1:18">
      <c r="C144" t="s">
        <v>2</v>
      </c>
      <c r="D144" s="2" t="s">
        <v>3</v>
      </c>
      <c r="F144" s="2" t="s">
        <v>2</v>
      </c>
      <c r="R144" t="s">
        <v>5</v>
      </c>
    </row>
    <row r="145" spans="1:18">
      <c r="A145" s="11"/>
      <c r="B145" s="11"/>
      <c r="C145" s="11" t="s">
        <v>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</row>
    <row r="146" spans="1:18">
      <c r="A146" s="3">
        <v>46106</v>
      </c>
      <c r="B146" t="s">
        <v>6</v>
      </c>
      <c r="C146" t="s">
        <v>2</v>
      </c>
      <c r="D146" t="s">
        <v>7</v>
      </c>
      <c r="F146" t="s">
        <v>3</v>
      </c>
      <c r="R146" t="s">
        <v>2</v>
      </c>
    </row>
    <row r="147" spans="1:18">
      <c r="F147" t="s">
        <v>1</v>
      </c>
      <c r="R147" t="s">
        <v>5</v>
      </c>
    </row>
    <row r="148" spans="1:18">
      <c r="R148" t="s">
        <v>2</v>
      </c>
    </row>
    <row r="149" spans="1:18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 t="s">
        <v>5</v>
      </c>
    </row>
    <row r="150" spans="1:18">
      <c r="A150" s="15">
        <v>46107</v>
      </c>
      <c r="B150" s="16"/>
      <c r="C150" s="16"/>
      <c r="D150" s="16"/>
      <c r="E150" s="16"/>
      <c r="F150" s="16" t="s">
        <v>6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</row>
    <row r="151" spans="1:18">
      <c r="A151" s="17">
        <v>46108</v>
      </c>
      <c r="B151" s="13"/>
      <c r="C151" s="13" t="s">
        <v>5</v>
      </c>
      <c r="D151" s="13"/>
      <c r="E151" s="13"/>
      <c r="F151" s="13" t="s">
        <v>3</v>
      </c>
      <c r="G151" s="13"/>
      <c r="H151" s="13"/>
      <c r="I151" s="13"/>
      <c r="J151" s="13"/>
      <c r="K151" s="13" t="s">
        <v>1</v>
      </c>
      <c r="L151" s="13"/>
      <c r="M151" s="13"/>
      <c r="N151" s="13" t="s">
        <v>5</v>
      </c>
      <c r="O151" s="13"/>
      <c r="P151" s="13"/>
      <c r="Q151" s="13"/>
      <c r="R151" s="13" t="s">
        <v>5</v>
      </c>
    </row>
    <row r="152" spans="1:18">
      <c r="F152" t="s">
        <v>7</v>
      </c>
      <c r="N152" t="s">
        <v>2</v>
      </c>
    </row>
    <row r="153" spans="1:18">
      <c r="A153" s="11"/>
      <c r="B153" s="11"/>
      <c r="C153" s="11"/>
      <c r="D153" s="11"/>
      <c r="E153" s="11"/>
      <c r="F153" s="11" t="s">
        <v>1</v>
      </c>
      <c r="G153" s="11"/>
      <c r="H153" s="11"/>
      <c r="I153" s="11"/>
      <c r="J153" s="11"/>
      <c r="K153" s="11"/>
      <c r="L153" s="11"/>
      <c r="M153" s="11"/>
      <c r="N153" s="11" t="s">
        <v>1</v>
      </c>
      <c r="O153" s="11"/>
      <c r="P153" s="11"/>
      <c r="Q153" s="11"/>
      <c r="R153" s="11"/>
    </row>
    <row r="154" spans="1:18">
      <c r="A154" s="3">
        <v>46111</v>
      </c>
      <c r="D154" t="s">
        <v>7</v>
      </c>
      <c r="F154" t="s">
        <v>5</v>
      </c>
      <c r="K154" s="13" t="s">
        <v>1</v>
      </c>
      <c r="N154" t="s">
        <v>2</v>
      </c>
      <c r="R154" t="s">
        <v>1</v>
      </c>
    </row>
    <row r="155" spans="1:18">
      <c r="D155" t="s">
        <v>2</v>
      </c>
      <c r="F155" t="s">
        <v>2</v>
      </c>
      <c r="R155" t="s">
        <v>5</v>
      </c>
    </row>
    <row r="156" spans="1:18">
      <c r="A156" s="11"/>
      <c r="B156" s="11"/>
      <c r="C156" s="11"/>
      <c r="D156" s="11"/>
      <c r="E156" s="11"/>
      <c r="F156" s="11" t="s">
        <v>3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</row>
    <row r="157" spans="1:18">
      <c r="A157" s="3">
        <v>46112</v>
      </c>
      <c r="D157" t="s">
        <v>5</v>
      </c>
      <c r="E157" t="s">
        <v>7</v>
      </c>
      <c r="F157" t="s">
        <v>2</v>
      </c>
      <c r="H157" t="s">
        <v>5</v>
      </c>
      <c r="N157" t="s">
        <v>7</v>
      </c>
      <c r="Q157" t="s">
        <v>7</v>
      </c>
      <c r="R157" t="s">
        <v>2</v>
      </c>
    </row>
    <row r="158" spans="1:18">
      <c r="F158" t="s">
        <v>6</v>
      </c>
      <c r="N158" t="s">
        <v>2</v>
      </c>
      <c r="Q158" t="s">
        <v>7</v>
      </c>
      <c r="R158" t="s">
        <v>5</v>
      </c>
    </row>
    <row r="159" spans="1:18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 t="s">
        <v>1</v>
      </c>
    </row>
    <row r="160" spans="1:18">
      <c r="A160" s="15">
        <v>46113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 t="s">
        <v>4</v>
      </c>
      <c r="O160" s="16"/>
      <c r="P160" s="16"/>
      <c r="Q160" s="16"/>
      <c r="R160" s="16" t="s">
        <v>4</v>
      </c>
    </row>
    <row r="161" spans="1:18">
      <c r="A161" s="17">
        <v>46118</v>
      </c>
      <c r="B161" s="13"/>
      <c r="C161" s="13"/>
      <c r="D161" s="13"/>
      <c r="E161" s="13" t="s">
        <v>3</v>
      </c>
      <c r="F161" s="13" t="s">
        <v>7</v>
      </c>
      <c r="G161" s="13"/>
      <c r="H161" s="13"/>
      <c r="I161" s="13"/>
      <c r="J161" s="13"/>
      <c r="K161" s="13"/>
      <c r="L161" s="13"/>
      <c r="M161" s="13"/>
      <c r="N161" s="13" t="s">
        <v>2</v>
      </c>
      <c r="O161" s="13"/>
      <c r="P161" s="13"/>
      <c r="Q161" s="13"/>
      <c r="R161" s="13" t="s">
        <v>2</v>
      </c>
    </row>
    <row r="162" spans="1:18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 t="s">
        <v>7</v>
      </c>
      <c r="O162" s="11"/>
      <c r="P162" s="11"/>
      <c r="Q162" s="11"/>
      <c r="R162" s="11"/>
    </row>
    <row r="163" spans="1:18">
      <c r="A163" s="3">
        <v>46119</v>
      </c>
      <c r="F163" t="s">
        <v>1</v>
      </c>
      <c r="I163" t="s">
        <v>7</v>
      </c>
      <c r="N163" t="s">
        <v>2</v>
      </c>
      <c r="R163" t="s">
        <v>3</v>
      </c>
    </row>
    <row r="164" spans="1:18">
      <c r="A164" s="11"/>
      <c r="B164" s="11"/>
      <c r="C164" s="11"/>
      <c r="D164" s="11"/>
      <c r="E164" s="11"/>
      <c r="F164" s="11" t="s">
        <v>2</v>
      </c>
      <c r="G164" s="11"/>
      <c r="H164" s="11"/>
      <c r="I164" s="11"/>
      <c r="J164" s="11"/>
      <c r="K164" s="11"/>
      <c r="L164" s="11"/>
      <c r="M164" s="11"/>
      <c r="N164" s="11" t="s">
        <v>3</v>
      </c>
      <c r="O164" s="11"/>
      <c r="P164" s="11"/>
      <c r="Q164" s="11"/>
      <c r="R164" s="11" t="s">
        <v>7</v>
      </c>
    </row>
    <row r="165" spans="1:18">
      <c r="A165" s="15">
        <v>46120</v>
      </c>
      <c r="B165" s="16" t="s">
        <v>6</v>
      </c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</row>
    <row r="166" spans="1:18">
      <c r="A166" s="3">
        <v>46121</v>
      </c>
      <c r="B166" t="s">
        <v>7</v>
      </c>
      <c r="D166" t="s">
        <v>2</v>
      </c>
      <c r="F166" t="s">
        <v>3</v>
      </c>
      <c r="N166" t="s">
        <v>4</v>
      </c>
      <c r="R166" t="s">
        <v>4</v>
      </c>
    </row>
    <row r="167" spans="1:18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 t="s">
        <v>7</v>
      </c>
      <c r="O167" s="11"/>
      <c r="P167" s="11"/>
      <c r="Q167" s="11"/>
      <c r="R167" s="11"/>
    </row>
    <row r="168" spans="1:18">
      <c r="A168" s="3">
        <v>46122</v>
      </c>
      <c r="B168" t="s">
        <v>4</v>
      </c>
      <c r="F168" t="s">
        <v>4</v>
      </c>
      <c r="K168" t="s">
        <v>4</v>
      </c>
      <c r="N168" t="s">
        <v>1</v>
      </c>
      <c r="R168" t="s">
        <v>4</v>
      </c>
    </row>
    <row r="169" spans="1:18">
      <c r="F169" t="s">
        <v>2</v>
      </c>
    </row>
    <row r="170" spans="1:18">
      <c r="A170" s="11"/>
      <c r="B170" s="11"/>
      <c r="C170" s="11"/>
      <c r="D170" s="11"/>
      <c r="E170" s="11"/>
      <c r="F170" s="11" t="s">
        <v>7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</row>
    <row r="171" spans="1:18">
      <c r="A171" s="3">
        <v>46125</v>
      </c>
      <c r="C171" t="s">
        <v>2</v>
      </c>
      <c r="F171" t="s">
        <v>3</v>
      </c>
      <c r="K171" t="s">
        <v>2</v>
      </c>
      <c r="N171" t="s">
        <v>4</v>
      </c>
      <c r="R171" t="s">
        <v>7</v>
      </c>
    </row>
    <row r="172" spans="1:18">
      <c r="C172" t="s">
        <v>6</v>
      </c>
      <c r="F172" t="s">
        <v>6</v>
      </c>
      <c r="K172" t="s">
        <v>3</v>
      </c>
      <c r="R172" t="s">
        <v>2</v>
      </c>
    </row>
    <row r="173" spans="1:18">
      <c r="A173" s="3"/>
      <c r="R173" t="s">
        <v>6</v>
      </c>
    </row>
    <row r="174" spans="1:18">
      <c r="A174" s="17">
        <v>46126</v>
      </c>
      <c r="B174" s="13" t="s">
        <v>4</v>
      </c>
      <c r="C174" s="13"/>
      <c r="D174" s="13" t="s">
        <v>3</v>
      </c>
      <c r="E174" s="13" t="s">
        <v>7</v>
      </c>
      <c r="F174" s="13" t="s">
        <v>1</v>
      </c>
      <c r="G174" s="13"/>
      <c r="H174" s="13"/>
      <c r="I174" s="13"/>
      <c r="J174" s="13"/>
      <c r="K174" s="13"/>
      <c r="L174" s="13"/>
      <c r="M174" s="13"/>
      <c r="N174" s="13" t="s">
        <v>7</v>
      </c>
      <c r="O174" s="13"/>
      <c r="P174" s="13"/>
      <c r="Q174" s="13"/>
      <c r="R174" s="13" t="s">
        <v>2</v>
      </c>
    </row>
    <row r="175" spans="1:18">
      <c r="A175" s="11"/>
      <c r="B175" s="11"/>
      <c r="C175" s="11"/>
      <c r="D175" s="11"/>
      <c r="E175" s="11"/>
      <c r="F175" s="11" t="s">
        <v>2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</row>
    <row r="176" spans="1:18">
      <c r="A176" s="3">
        <v>46127</v>
      </c>
      <c r="D176" t="s">
        <v>3</v>
      </c>
      <c r="E176" t="s">
        <v>2</v>
      </c>
      <c r="F176" t="s">
        <v>4</v>
      </c>
      <c r="K176" t="s">
        <v>2</v>
      </c>
      <c r="N176" t="s">
        <v>2</v>
      </c>
      <c r="R176" t="s">
        <v>2</v>
      </c>
    </row>
    <row r="177" spans="1:18">
      <c r="F177" t="s">
        <v>2</v>
      </c>
      <c r="N177" t="s">
        <v>4</v>
      </c>
    </row>
    <row r="178" spans="1:18">
      <c r="F178" t="s">
        <v>3</v>
      </c>
    </row>
    <row r="179" spans="1:18">
      <c r="F179" t="s">
        <v>7</v>
      </c>
    </row>
    <row r="180" spans="1:18">
      <c r="A180" s="11"/>
      <c r="B180" s="11"/>
      <c r="C180" s="11"/>
      <c r="D180" s="11"/>
      <c r="E180" s="11"/>
      <c r="F180" s="11" t="s">
        <v>2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</row>
    <row r="181" spans="1:18">
      <c r="A181" s="15">
        <v>46128</v>
      </c>
      <c r="B181" s="16"/>
      <c r="C181" s="16"/>
      <c r="D181" s="16"/>
      <c r="E181" s="16"/>
      <c r="F181" s="16" t="s">
        <v>4</v>
      </c>
      <c r="G181" s="16"/>
      <c r="H181" s="16"/>
      <c r="I181" s="16"/>
      <c r="J181" s="16"/>
      <c r="K181" s="16"/>
      <c r="L181" s="16"/>
      <c r="M181" s="16" t="s">
        <v>1</v>
      </c>
      <c r="N181" s="16" t="s">
        <v>7</v>
      </c>
      <c r="O181" s="16"/>
      <c r="P181" s="16"/>
      <c r="Q181" s="16"/>
      <c r="R181" s="16"/>
    </row>
    <row r="182" spans="1:18">
      <c r="A182" s="3">
        <v>46129</v>
      </c>
      <c r="F182" t="s">
        <v>1</v>
      </c>
      <c r="N182" t="s">
        <v>2</v>
      </c>
      <c r="R182" t="s">
        <v>4</v>
      </c>
    </row>
    <row r="183" spans="1:18">
      <c r="F183" t="s">
        <v>7</v>
      </c>
      <c r="R183" t="s">
        <v>2</v>
      </c>
    </row>
    <row r="184" spans="1:18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 t="s">
        <v>2</v>
      </c>
    </row>
    <row r="185" spans="1:18">
      <c r="A185" s="3">
        <v>46132</v>
      </c>
      <c r="D185" t="s">
        <v>2</v>
      </c>
      <c r="E185" t="s">
        <v>6</v>
      </c>
      <c r="F185" t="s">
        <v>6</v>
      </c>
      <c r="L185" t="s">
        <v>2</v>
      </c>
      <c r="N185" t="s">
        <v>3</v>
      </c>
      <c r="R185" t="s">
        <v>3</v>
      </c>
    </row>
    <row r="186" spans="1:18">
      <c r="D186" t="s">
        <v>7</v>
      </c>
      <c r="E186" t="s">
        <v>4</v>
      </c>
      <c r="F186" t="s">
        <v>7</v>
      </c>
    </row>
    <row r="187" spans="1:18">
      <c r="D187" t="s">
        <v>4</v>
      </c>
    </row>
    <row r="188" spans="1:18">
      <c r="A188" s="11"/>
      <c r="B188" s="11"/>
      <c r="C188" s="11"/>
      <c r="D188" s="11" t="s">
        <v>1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</row>
    <row r="189" spans="1:18">
      <c r="A189" s="3">
        <v>46133</v>
      </c>
      <c r="D189" t="s">
        <v>2</v>
      </c>
      <c r="F189" t="s">
        <v>2</v>
      </c>
      <c r="N189" t="s">
        <v>7</v>
      </c>
      <c r="R189" t="s">
        <v>7</v>
      </c>
    </row>
    <row r="190" spans="1:18">
      <c r="A190" s="11"/>
      <c r="B190" s="11"/>
      <c r="C190" s="11"/>
      <c r="D190" s="11"/>
      <c r="E190" s="11"/>
      <c r="F190" s="11" t="s">
        <v>4</v>
      </c>
      <c r="G190" s="11"/>
      <c r="H190" s="11"/>
      <c r="I190" s="11"/>
      <c r="J190" s="11"/>
      <c r="K190" s="11"/>
      <c r="L190" s="11"/>
      <c r="M190" s="11"/>
      <c r="N190" s="11" t="s">
        <v>7</v>
      </c>
      <c r="O190" s="11"/>
      <c r="P190" s="11"/>
      <c r="Q190" s="11"/>
      <c r="R190" s="11"/>
    </row>
    <row r="191" spans="1:18">
      <c r="A191" s="3">
        <v>46134</v>
      </c>
      <c r="C191" t="s">
        <v>7</v>
      </c>
      <c r="D191" t="s">
        <v>7</v>
      </c>
      <c r="E191" t="s">
        <v>3</v>
      </c>
      <c r="F191" t="s">
        <v>6</v>
      </c>
      <c r="H191" t="s">
        <v>4</v>
      </c>
      <c r="N191" t="s">
        <v>2</v>
      </c>
    </row>
    <row r="192" spans="1:18">
      <c r="E192" t="s">
        <v>6</v>
      </c>
      <c r="F192" t="s">
        <v>7</v>
      </c>
    </row>
    <row r="193" spans="1:18">
      <c r="F193" t="s">
        <v>2</v>
      </c>
    </row>
    <row r="194" spans="1:18">
      <c r="F194" t="s">
        <v>4</v>
      </c>
    </row>
    <row r="195" spans="1:18">
      <c r="A195" s="11"/>
      <c r="B195" s="11"/>
      <c r="C195" s="11"/>
      <c r="D195" s="11"/>
      <c r="E195" s="11"/>
      <c r="F195" s="11" t="s">
        <v>1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</row>
    <row r="196" spans="1:18">
      <c r="A196" s="3">
        <v>46135</v>
      </c>
      <c r="E196" t="s">
        <v>2</v>
      </c>
      <c r="F196" t="s">
        <v>3</v>
      </c>
      <c r="R196" t="s">
        <v>2</v>
      </c>
    </row>
    <row r="197" spans="1:18">
      <c r="F197" t="s">
        <v>4</v>
      </c>
      <c r="R197" t="s">
        <v>7</v>
      </c>
    </row>
    <row r="198" spans="1:1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 t="s">
        <v>4</v>
      </c>
    </row>
    <row r="199" spans="1:18">
      <c r="A199" s="3">
        <v>46136</v>
      </c>
      <c r="B199" t="s">
        <v>4</v>
      </c>
      <c r="F199" t="s">
        <v>7</v>
      </c>
    </row>
    <row r="200" spans="1:18">
      <c r="A200" s="11"/>
      <c r="B200" s="11"/>
      <c r="C200" s="11"/>
      <c r="D200" s="11"/>
      <c r="E200" s="11"/>
      <c r="F200" s="11" t="s">
        <v>2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</row>
    <row r="201" spans="1:18">
      <c r="A201" s="15">
        <v>46139</v>
      </c>
      <c r="B201" s="16"/>
      <c r="C201" s="16"/>
      <c r="D201" s="16" t="s">
        <v>2</v>
      </c>
      <c r="E201" s="16" t="s">
        <v>7</v>
      </c>
      <c r="F201" s="16" t="s">
        <v>6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</row>
    <row r="202" spans="1:18">
      <c r="A202" s="15">
        <v>46140</v>
      </c>
      <c r="B202" s="16"/>
      <c r="C202" s="16"/>
      <c r="D202" s="16" t="s">
        <v>4</v>
      </c>
      <c r="E202" s="16" t="s">
        <v>3</v>
      </c>
      <c r="F202" s="16"/>
      <c r="G202" s="16"/>
      <c r="H202" s="16"/>
      <c r="I202" s="16"/>
      <c r="J202" s="16"/>
      <c r="K202" s="16"/>
      <c r="L202" s="16"/>
      <c r="M202" s="16"/>
      <c r="N202" s="16"/>
      <c r="O202" s="16" t="s">
        <v>7</v>
      </c>
      <c r="P202" s="16"/>
      <c r="Q202" s="16"/>
      <c r="R202" s="16" t="s">
        <v>7</v>
      </c>
    </row>
    <row r="203" spans="1:18">
      <c r="A203" s="3">
        <v>46141</v>
      </c>
      <c r="F203" t="s">
        <v>6</v>
      </c>
      <c r="H203" t="s">
        <v>7</v>
      </c>
    </row>
    <row r="204" spans="1:18">
      <c r="A204" s="21"/>
      <c r="B204" s="21"/>
      <c r="C204" s="21"/>
      <c r="D204" s="21"/>
      <c r="E204" s="21"/>
      <c r="F204" s="21" t="s">
        <v>4</v>
      </c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</row>
    <row r="205" spans="1:18">
      <c r="A205" s="3">
        <v>46142</v>
      </c>
      <c r="B205" t="s">
        <v>4</v>
      </c>
      <c r="D205" t="s">
        <v>7</v>
      </c>
      <c r="E205" s="16" t="s">
        <v>3</v>
      </c>
      <c r="F205" s="2" t="s">
        <v>4</v>
      </c>
      <c r="J205" t="s">
        <v>7</v>
      </c>
      <c r="M205" t="s">
        <v>8</v>
      </c>
      <c r="N205" t="s">
        <v>4</v>
      </c>
      <c r="R205" t="s">
        <v>1</v>
      </c>
    </row>
    <row r="206" spans="1:18">
      <c r="A206" s="11"/>
      <c r="B206" s="11" t="s">
        <v>7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 t="s">
        <v>1</v>
      </c>
    </row>
    <row r="207" spans="1:18">
      <c r="A207" s="3">
        <v>46146</v>
      </c>
      <c r="F207" t="s">
        <v>4</v>
      </c>
    </row>
    <row r="208" spans="1:18">
      <c r="F208" t="s">
        <v>2</v>
      </c>
    </row>
    <row r="209" spans="1:18">
      <c r="F209" t="s">
        <v>8</v>
      </c>
    </row>
    <row r="210" spans="1:18">
      <c r="A210" s="11"/>
      <c r="B210" s="11"/>
      <c r="C210" s="11"/>
      <c r="D210" s="11"/>
      <c r="E210" s="11"/>
      <c r="F210" s="11" t="s">
        <v>6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</row>
    <row r="211" spans="1:18">
      <c r="A211" s="15">
        <v>46147</v>
      </c>
      <c r="B211" s="16" t="s">
        <v>8</v>
      </c>
      <c r="C211" s="16"/>
      <c r="D211" s="16" t="s">
        <v>2</v>
      </c>
      <c r="E211" s="16" t="s">
        <v>7</v>
      </c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 t="s">
        <v>4</v>
      </c>
    </row>
    <row r="212" spans="1:18">
      <c r="A212" s="3">
        <v>46148</v>
      </c>
      <c r="C212" t="s">
        <v>7</v>
      </c>
      <c r="D212" t="s">
        <v>4</v>
      </c>
    </row>
    <row r="213" spans="1:18">
      <c r="A213" s="11"/>
      <c r="B213" s="11"/>
      <c r="C213" s="11"/>
      <c r="D213" s="11" t="s">
        <v>8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</row>
    <row r="214" spans="1:18">
      <c r="A214" s="15">
        <v>46149</v>
      </c>
      <c r="B214" s="16"/>
      <c r="C214" s="16"/>
      <c r="D214" s="16"/>
      <c r="E214" s="16" t="s">
        <v>3</v>
      </c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 t="s">
        <v>6</v>
      </c>
    </row>
    <row r="215" spans="1:18">
      <c r="A215" s="3">
        <v>46150</v>
      </c>
      <c r="B215" t="s">
        <v>2</v>
      </c>
      <c r="D215" t="s">
        <v>7</v>
      </c>
      <c r="E215" t="s">
        <v>8</v>
      </c>
      <c r="F215" t="s">
        <v>2</v>
      </c>
      <c r="H215" t="s">
        <v>4</v>
      </c>
      <c r="R215" t="s">
        <v>2</v>
      </c>
    </row>
    <row r="216" spans="1:18">
      <c r="F216" t="s">
        <v>3</v>
      </c>
      <c r="R216" t="s">
        <v>7</v>
      </c>
    </row>
    <row r="217" spans="1:18">
      <c r="A217" s="11"/>
      <c r="B217" s="11"/>
      <c r="C217" s="11"/>
      <c r="D217" s="11"/>
      <c r="E217" s="11"/>
      <c r="F217" s="11" t="s">
        <v>8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</row>
    <row r="218" spans="1:18">
      <c r="A218" s="3">
        <v>46153</v>
      </c>
      <c r="D218" t="s">
        <v>3</v>
      </c>
      <c r="E218" t="s">
        <v>7</v>
      </c>
      <c r="F218" t="s">
        <v>6</v>
      </c>
    </row>
    <row r="219" spans="1:18">
      <c r="F219" t="s">
        <v>3</v>
      </c>
    </row>
    <row r="220" spans="1:18">
      <c r="F220" t="s">
        <v>8</v>
      </c>
    </row>
    <row r="221" spans="1:18">
      <c r="A221" s="17">
        <v>46154</v>
      </c>
      <c r="B221" s="13"/>
      <c r="C221" s="13"/>
      <c r="D221" s="13"/>
      <c r="E221" s="13"/>
      <c r="F221" s="13" t="s">
        <v>7</v>
      </c>
      <c r="G221" s="13"/>
      <c r="H221" s="13" t="s">
        <v>3</v>
      </c>
      <c r="I221" s="13"/>
      <c r="J221" s="13"/>
      <c r="K221" s="13"/>
      <c r="L221" s="13"/>
      <c r="M221" s="13" t="s">
        <v>1</v>
      </c>
      <c r="N221" s="13" t="s">
        <v>1</v>
      </c>
      <c r="O221" s="13"/>
      <c r="P221" s="13"/>
      <c r="Q221" s="13"/>
      <c r="R221" s="13" t="s">
        <v>4</v>
      </c>
    </row>
    <row r="222" spans="1:18">
      <c r="F222" t="s">
        <v>4</v>
      </c>
    </row>
    <row r="223" spans="1:18">
      <c r="A223" s="11"/>
      <c r="B223" s="11"/>
      <c r="C223" s="11"/>
      <c r="D223" s="11"/>
      <c r="E223" s="11"/>
      <c r="F223" s="11" t="s">
        <v>7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</row>
    <row r="224" spans="1:18">
      <c r="A224" s="3">
        <v>46155</v>
      </c>
      <c r="B224" t="s">
        <v>4</v>
      </c>
      <c r="C224" t="s">
        <v>1</v>
      </c>
      <c r="E224" t="s">
        <v>2</v>
      </c>
      <c r="F224" t="s">
        <v>3</v>
      </c>
    </row>
    <row r="225" spans="1:18">
      <c r="A225" s="11"/>
      <c r="B225" s="11"/>
      <c r="C225" s="11"/>
      <c r="D225" s="11"/>
      <c r="E225" s="11"/>
      <c r="F225" s="11" t="s">
        <v>8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</row>
    <row r="226" spans="1:18">
      <c r="A226" s="15">
        <v>46156</v>
      </c>
      <c r="B226" s="16"/>
      <c r="C226" s="16"/>
      <c r="D226" s="16" t="s">
        <v>8</v>
      </c>
      <c r="E226" s="16" t="s">
        <v>3</v>
      </c>
      <c r="F226" s="16" t="s">
        <v>2</v>
      </c>
      <c r="G226" s="16"/>
      <c r="H226" s="16"/>
      <c r="I226" s="16"/>
      <c r="J226" s="16"/>
      <c r="K226" s="16"/>
      <c r="L226" s="16"/>
      <c r="M226" s="16"/>
      <c r="N226" s="16" t="s">
        <v>1</v>
      </c>
      <c r="O226" s="16"/>
      <c r="P226" s="16"/>
      <c r="Q226" s="16"/>
      <c r="R226" s="16"/>
    </row>
    <row r="227" spans="1:18">
      <c r="A227" s="3">
        <v>46157</v>
      </c>
      <c r="C227" t="s">
        <v>8</v>
      </c>
      <c r="F227" t="s">
        <v>7</v>
      </c>
      <c r="N227" t="s">
        <v>2</v>
      </c>
    </row>
    <row r="228" spans="1:18">
      <c r="A228" s="11"/>
      <c r="B228" s="11"/>
      <c r="C228" s="11"/>
      <c r="D228" s="11"/>
      <c r="E228" s="11"/>
      <c r="F228" s="11" t="s">
        <v>4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</row>
    <row r="229" spans="1:18">
      <c r="A229" s="15">
        <v>46160</v>
      </c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 t="s">
        <v>3</v>
      </c>
      <c r="P229" s="16"/>
      <c r="Q229" s="16"/>
      <c r="R229" s="16" t="s">
        <v>8</v>
      </c>
    </row>
    <row r="230" spans="1:18">
      <c r="A230" s="3">
        <v>46161</v>
      </c>
      <c r="C230" t="s">
        <v>3</v>
      </c>
      <c r="E230" t="s">
        <v>7</v>
      </c>
      <c r="F230" t="s">
        <v>1</v>
      </c>
      <c r="N230" t="s">
        <v>4</v>
      </c>
    </row>
    <row r="231" spans="1:18">
      <c r="E231" t="s">
        <v>2</v>
      </c>
      <c r="F231" t="s">
        <v>8</v>
      </c>
      <c r="N231" t="s">
        <v>3</v>
      </c>
    </row>
    <row r="232" spans="1:18">
      <c r="F232" t="s">
        <v>2</v>
      </c>
    </row>
    <row r="233" spans="1:18">
      <c r="A233" s="11"/>
      <c r="B233" s="11"/>
      <c r="C233" s="11"/>
      <c r="D233" s="11"/>
      <c r="E233" s="11"/>
      <c r="F233" s="11" t="s">
        <v>7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</row>
    <row r="234" spans="1:18">
      <c r="A234" s="3">
        <v>46162</v>
      </c>
      <c r="F234" t="s">
        <v>3</v>
      </c>
      <c r="N234" t="s">
        <v>8</v>
      </c>
      <c r="R234" t="s">
        <v>7</v>
      </c>
    </row>
    <row r="235" spans="1:18">
      <c r="A235" s="11"/>
      <c r="B235" s="11"/>
      <c r="C235" s="11"/>
      <c r="D235" s="11"/>
      <c r="E235" s="11"/>
      <c r="F235" s="11" t="s">
        <v>4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</row>
    <row r="236" spans="1:18">
      <c r="A236" s="3">
        <v>46163</v>
      </c>
      <c r="C236" t="s">
        <v>4</v>
      </c>
      <c r="D236" t="s">
        <v>3</v>
      </c>
      <c r="E236" t="s">
        <v>8</v>
      </c>
      <c r="F236" t="s">
        <v>8</v>
      </c>
      <c r="N236" t="s">
        <v>3</v>
      </c>
      <c r="R236" t="s">
        <v>2</v>
      </c>
    </row>
    <row r="237" spans="1:18">
      <c r="E237" t="s">
        <v>7</v>
      </c>
      <c r="F237" t="s">
        <v>4</v>
      </c>
      <c r="N237" t="s">
        <v>7</v>
      </c>
      <c r="R237" t="s">
        <v>7</v>
      </c>
    </row>
    <row r="238" spans="1:18">
      <c r="A238" s="11"/>
      <c r="B238" s="11"/>
      <c r="C238" s="11"/>
      <c r="D238" s="11"/>
      <c r="E238" s="11" t="s">
        <v>2</v>
      </c>
      <c r="F238" s="11" t="s">
        <v>6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</row>
    <row r="239" spans="1:18">
      <c r="A239" s="3">
        <v>46164</v>
      </c>
      <c r="B239" t="s">
        <v>3</v>
      </c>
      <c r="C239" t="s">
        <v>7</v>
      </c>
      <c r="D239" t="s">
        <v>4</v>
      </c>
      <c r="E239" t="s">
        <v>6</v>
      </c>
      <c r="F239" t="s">
        <v>2</v>
      </c>
      <c r="H239" t="s">
        <v>8</v>
      </c>
      <c r="L239" t="s">
        <v>7</v>
      </c>
      <c r="N239" t="s">
        <v>2</v>
      </c>
      <c r="R239" t="s">
        <v>4</v>
      </c>
    </row>
    <row r="240" spans="1:18">
      <c r="E240" t="s">
        <v>3</v>
      </c>
      <c r="F240" t="s">
        <v>8</v>
      </c>
      <c r="N240" t="s">
        <v>8</v>
      </c>
    </row>
    <row r="241" spans="1:18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 t="s">
        <v>4</v>
      </c>
      <c r="O241" s="11"/>
      <c r="P241" s="11"/>
      <c r="Q241" s="11"/>
      <c r="R241" s="11"/>
    </row>
    <row r="242" spans="1:18">
      <c r="A242" s="3">
        <v>46167</v>
      </c>
      <c r="E242" t="s">
        <v>2</v>
      </c>
      <c r="F242" t="s">
        <v>7</v>
      </c>
    </row>
    <row r="243" spans="1:18">
      <c r="A243" s="11"/>
      <c r="B243" s="11"/>
      <c r="C243" s="11"/>
      <c r="D243" s="11"/>
      <c r="E243" s="11" t="s">
        <v>3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</row>
    <row r="244" spans="1:18">
      <c r="A244" s="3">
        <v>46168</v>
      </c>
      <c r="B244" t="s">
        <v>8</v>
      </c>
      <c r="M244" t="s">
        <v>1</v>
      </c>
      <c r="R244" t="s">
        <v>2</v>
      </c>
    </row>
    <row r="245" spans="1:18">
      <c r="B245" t="s">
        <v>4</v>
      </c>
    </row>
    <row r="326" spans="22:23">
      <c r="V326" s="3"/>
      <c r="W326" s="3"/>
    </row>
    <row r="337" spans="24:24">
      <c r="X337" s="7"/>
    </row>
    <row r="339" spans="24:24">
      <c r="X339" s="7"/>
    </row>
    <row r="375" spans="1:21" s="11" customFormat="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</sheetData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Hospital de Fuenlabrada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Hospital de Fuenlabrada</dc:creator>
  <cp:keywords/>
  <dc:description/>
  <cp:lastModifiedBy>X</cp:lastModifiedBy>
  <cp:revision/>
  <dcterms:created xsi:type="dcterms:W3CDTF">2015-05-18T11:06:45Z</dcterms:created>
  <dcterms:modified xsi:type="dcterms:W3CDTF">2026-05-27T08:39:50Z</dcterms:modified>
  <cp:category/>
  <cp:contentStatus/>
</cp:coreProperties>
</file>